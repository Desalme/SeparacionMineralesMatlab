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H\Downloads\"/>
    </mc:Choice>
  </mc:AlternateContent>
  <bookViews>
    <workbookView xWindow="0" yWindow="0" windowWidth="20490" windowHeight="7755"/>
  </bookViews>
  <sheets>
    <sheet name="Hoja1" sheetId="1" r:id="rId1"/>
    <sheet name="Gráfico1" sheetId="3" state="hidden" r:id="rId2"/>
  </sheet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0" i="1" l="1"/>
  <c r="K71" i="1"/>
  <c r="K69" i="1" l="1"/>
  <c r="K68" i="1"/>
  <c r="L68" i="1" s="1"/>
  <c r="K67" i="1"/>
  <c r="K66" i="1"/>
  <c r="K65" i="1"/>
  <c r="K64" i="1"/>
  <c r="K63" i="1"/>
  <c r="K62" i="1"/>
  <c r="K61" i="1"/>
  <c r="K60" i="1"/>
  <c r="AD69" i="1"/>
  <c r="AD70" i="1"/>
  <c r="AD71" i="1"/>
  <c r="AD61" i="1"/>
  <c r="AD62" i="1"/>
  <c r="AD63" i="1"/>
  <c r="AD64" i="1"/>
  <c r="AD65" i="1"/>
  <c r="AD66" i="1"/>
  <c r="AD67" i="1"/>
  <c r="AD68" i="1"/>
  <c r="L64" i="1"/>
  <c r="J63" i="1"/>
  <c r="L63" i="1" s="1"/>
  <c r="J65" i="1"/>
  <c r="L65" i="1" s="1"/>
  <c r="L66" i="1"/>
  <c r="J67" i="1"/>
  <c r="L67" i="1" s="1"/>
  <c r="J69" i="1"/>
  <c r="L69" i="1" s="1"/>
  <c r="L70" i="1"/>
  <c r="J71" i="1"/>
  <c r="L71" i="1" s="1"/>
  <c r="K59" i="1"/>
  <c r="K57" i="1"/>
  <c r="J57" i="1"/>
  <c r="K56" i="1"/>
  <c r="K55" i="1"/>
  <c r="K54" i="1"/>
  <c r="K53" i="1"/>
  <c r="K51" i="1"/>
  <c r="BI1" i="1"/>
  <c r="K2" i="1" l="1"/>
  <c r="K47" i="1"/>
  <c r="K50" i="1"/>
  <c r="K49" i="1"/>
  <c r="L50" i="1"/>
  <c r="L52" i="1"/>
  <c r="J61" i="1"/>
  <c r="L61" i="1" s="1"/>
  <c r="L62" i="1"/>
  <c r="J51" i="1"/>
  <c r="L51" i="1" s="1"/>
  <c r="J53" i="1"/>
  <c r="L53" i="1" s="1"/>
  <c r="J54" i="1"/>
  <c r="L54" i="1" s="1"/>
  <c r="L55" i="1"/>
  <c r="J56" i="1"/>
  <c r="L56" i="1" s="1"/>
  <c r="L57" i="1"/>
  <c r="L58" i="1"/>
  <c r="J59" i="1"/>
  <c r="L59" i="1" s="1"/>
  <c r="L60" i="1"/>
  <c r="K48" i="1" l="1"/>
  <c r="J49" i="1" s="1"/>
  <c r="L49" i="1" s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K45" i="1"/>
  <c r="K46" i="1" s="1"/>
  <c r="J47" i="1" s="1"/>
  <c r="K44" i="1"/>
  <c r="J45" i="1" s="1"/>
  <c r="K43" i="1"/>
  <c r="J43" i="1"/>
  <c r="J44" i="1" s="1"/>
  <c r="L44" i="1" s="1"/>
  <c r="K42" i="1"/>
  <c r="K41" i="1"/>
  <c r="K39" i="1"/>
  <c r="K40" i="1" s="1"/>
  <c r="J41" i="1" s="1"/>
  <c r="K38" i="1"/>
  <c r="J39" i="1" s="1"/>
  <c r="K37" i="1"/>
  <c r="AD39" i="1"/>
  <c r="AD40" i="1"/>
  <c r="AD41" i="1"/>
  <c r="AD42" i="1"/>
  <c r="AD43" i="1"/>
  <c r="AD44" i="1"/>
  <c r="AD45" i="1"/>
  <c r="AD46" i="1"/>
  <c r="AD47" i="1"/>
  <c r="L45" i="1" l="1"/>
  <c r="J46" i="1"/>
  <c r="L46" i="1" s="1"/>
  <c r="J40" i="1"/>
  <c r="L39" i="1"/>
  <c r="L40" i="1" s="1"/>
  <c r="J42" i="1"/>
  <c r="L42" i="1" s="1"/>
  <c r="L41" i="1"/>
  <c r="J48" i="1"/>
  <c r="L48" i="1" s="1"/>
  <c r="L47" i="1"/>
  <c r="L43" i="1"/>
  <c r="K34" i="1"/>
  <c r="K35" i="1" s="1"/>
  <c r="K36" i="1" s="1"/>
  <c r="J37" i="1" s="1"/>
  <c r="AD33" i="1"/>
  <c r="AD34" i="1"/>
  <c r="AD35" i="1"/>
  <c r="AD36" i="1"/>
  <c r="AD37" i="1"/>
  <c r="AD38" i="1"/>
  <c r="AD32" i="1"/>
  <c r="K32" i="1"/>
  <c r="K33" i="1" s="1"/>
  <c r="J34" i="1" s="1"/>
  <c r="AD31" i="1"/>
  <c r="K31" i="1"/>
  <c r="J32" i="1" s="1"/>
  <c r="J33" i="1" s="1"/>
  <c r="L33" i="1" s="1"/>
  <c r="AD30" i="1"/>
  <c r="K30" i="1"/>
  <c r="J35" i="1" l="1"/>
  <c r="L34" i="1"/>
  <c r="J38" i="1"/>
  <c r="L38" i="1" s="1"/>
  <c r="L37" i="1"/>
  <c r="L32" i="1"/>
  <c r="AD29" i="1"/>
  <c r="K29" i="1"/>
  <c r="K26" i="1"/>
  <c r="K27" i="1" s="1"/>
  <c r="K28" i="1" s="1"/>
  <c r="J29" i="1" s="1"/>
  <c r="AD28" i="1"/>
  <c r="AD27" i="1"/>
  <c r="AD26" i="1"/>
  <c r="K23" i="1"/>
  <c r="AD25" i="1"/>
  <c r="K25" i="1"/>
  <c r="J26" i="1" s="1"/>
  <c r="AD24" i="1"/>
  <c r="K24" i="1"/>
  <c r="AD23" i="1"/>
  <c r="K20" i="1"/>
  <c r="AD22" i="1"/>
  <c r="J27" i="1" l="1"/>
  <c r="L26" i="1"/>
  <c r="J30" i="1"/>
  <c r="L29" i="1"/>
  <c r="L35" i="1"/>
  <c r="J36" i="1"/>
  <c r="L36" i="1" s="1"/>
  <c r="AD21" i="1"/>
  <c r="K21" i="1"/>
  <c r="K22" i="1" s="1"/>
  <c r="J23" i="1" s="1"/>
  <c r="AD20" i="1"/>
  <c r="K17" i="1"/>
  <c r="AD19" i="1"/>
  <c r="K19" i="1"/>
  <c r="J20" i="1" s="1"/>
  <c r="AD18" i="1"/>
  <c r="K18" i="1"/>
  <c r="AD17" i="1"/>
  <c r="K14" i="1"/>
  <c r="AD16" i="1"/>
  <c r="K16" i="1"/>
  <c r="J17" i="1" s="1"/>
  <c r="AD15" i="1"/>
  <c r="K15" i="1"/>
  <c r="AD14" i="1"/>
  <c r="J21" i="1" l="1"/>
  <c r="J22" i="1" s="1"/>
  <c r="L20" i="1"/>
  <c r="L21" i="1" s="1"/>
  <c r="L22" i="1" s="1"/>
  <c r="J24" i="1"/>
  <c r="L23" i="1"/>
  <c r="J31" i="1"/>
  <c r="L31" i="1" s="1"/>
  <c r="L30" i="1"/>
  <c r="J28" i="1"/>
  <c r="L28" i="1" s="1"/>
  <c r="L27" i="1"/>
  <c r="J18" i="1"/>
  <c r="L17" i="1"/>
  <c r="K11" i="1"/>
  <c r="AD13" i="1"/>
  <c r="AD12" i="1"/>
  <c r="K12" i="1"/>
  <c r="K13" i="1" s="1"/>
  <c r="J14" i="1" s="1"/>
  <c r="AD11" i="1"/>
  <c r="K8" i="1"/>
  <c r="AD10" i="1"/>
  <c r="AD9" i="1"/>
  <c r="AD8" i="1"/>
  <c r="K5" i="1"/>
  <c r="J8" i="1"/>
  <c r="AD7" i="1"/>
  <c r="L7" i="1"/>
  <c r="L6" i="1"/>
  <c r="AD6" i="1"/>
  <c r="AD5" i="1"/>
  <c r="K3" i="1"/>
  <c r="K4" i="1" s="1"/>
  <c r="J5" i="1" s="1"/>
  <c r="AD4" i="1"/>
  <c r="AD3" i="1"/>
  <c r="G2" i="1"/>
  <c r="L5" i="1" l="1"/>
  <c r="L8" i="1"/>
  <c r="L18" i="1"/>
  <c r="J19" i="1"/>
  <c r="L19" i="1" s="1"/>
  <c r="L24" i="1"/>
  <c r="J25" i="1"/>
  <c r="L25" i="1" s="1"/>
  <c r="J15" i="1"/>
  <c r="L14" i="1"/>
  <c r="J9" i="1"/>
  <c r="J10" i="1" s="1"/>
  <c r="K9" i="1"/>
  <c r="K10" i="1" s="1"/>
  <c r="H2" i="1"/>
  <c r="I2" i="1" s="1"/>
  <c r="L10" i="1" l="1"/>
  <c r="J11" i="1"/>
  <c r="L15" i="1"/>
  <c r="J16" i="1"/>
  <c r="L16" i="1" s="1"/>
  <c r="L9" i="1"/>
  <c r="J12" i="1" l="1"/>
  <c r="L11" i="1"/>
  <c r="L12" i="1" l="1"/>
  <c r="J13" i="1"/>
  <c r="L13" i="1" s="1"/>
  <c r="AD2" i="1" l="1"/>
  <c r="B19" i="1"/>
  <c r="AA61" i="1" l="1"/>
  <c r="AA62" i="1"/>
  <c r="AE62" i="1" s="1"/>
  <c r="AG62" i="1" s="1"/>
  <c r="AA63" i="1"/>
  <c r="AA64" i="1"/>
  <c r="AE64" i="1" s="1"/>
  <c r="AG64" i="1" s="1"/>
  <c r="AA65" i="1"/>
  <c r="AE65" i="1" s="1"/>
  <c r="AG65" i="1" s="1"/>
  <c r="AA66" i="1"/>
  <c r="AE66" i="1" s="1"/>
  <c r="AG66" i="1" s="1"/>
  <c r="AA67" i="1"/>
  <c r="AA68" i="1"/>
  <c r="AE68" i="1" s="1"/>
  <c r="AG68" i="1" s="1"/>
  <c r="AA69" i="1"/>
  <c r="AA70" i="1"/>
  <c r="AE70" i="1" s="1"/>
  <c r="AG70" i="1" s="1"/>
  <c r="AA71" i="1"/>
  <c r="AC62" i="1"/>
  <c r="AA48" i="1"/>
  <c r="AE48" i="1" s="1"/>
  <c r="AG48" i="1" s="1"/>
  <c r="AA49" i="1"/>
  <c r="AE49" i="1" s="1"/>
  <c r="AG49" i="1" s="1"/>
  <c r="AA50" i="1"/>
  <c r="AA51" i="1"/>
  <c r="AE51" i="1" s="1"/>
  <c r="AG51" i="1" s="1"/>
  <c r="AA53" i="1"/>
  <c r="AE53" i="1" s="1"/>
  <c r="AG53" i="1" s="1"/>
  <c r="AA57" i="1"/>
  <c r="AE57" i="1" s="1"/>
  <c r="AG57" i="1" s="1"/>
  <c r="AA60" i="1"/>
  <c r="AA39" i="1"/>
  <c r="AE39" i="1" s="1"/>
  <c r="AG39" i="1" s="1"/>
  <c r="AA40" i="1"/>
  <c r="AE40" i="1" s="1"/>
  <c r="AG40" i="1" s="1"/>
  <c r="AA41" i="1"/>
  <c r="AE41" i="1" s="1"/>
  <c r="AG41" i="1" s="1"/>
  <c r="AA52" i="1"/>
  <c r="AE52" i="1" s="1"/>
  <c r="AG52" i="1" s="1"/>
  <c r="AA54" i="1"/>
  <c r="AA55" i="1"/>
  <c r="AE55" i="1" s="1"/>
  <c r="AG55" i="1" s="1"/>
  <c r="AA56" i="1"/>
  <c r="AA58" i="1"/>
  <c r="AA59" i="1"/>
  <c r="AE59" i="1" s="1"/>
  <c r="AG59" i="1" s="1"/>
  <c r="AA43" i="1"/>
  <c r="AE43" i="1" s="1"/>
  <c r="AG43" i="1" s="1"/>
  <c r="AA44" i="1"/>
  <c r="AE44" i="1" s="1"/>
  <c r="AG44" i="1" s="1"/>
  <c r="AA45" i="1"/>
  <c r="AE45" i="1" s="1"/>
  <c r="AG45" i="1" s="1"/>
  <c r="AA46" i="1"/>
  <c r="AE46" i="1" s="1"/>
  <c r="AG46" i="1" s="1"/>
  <c r="AA47" i="1"/>
  <c r="AE47" i="1" s="1"/>
  <c r="AG47" i="1" s="1"/>
  <c r="AC59" i="1"/>
  <c r="AC51" i="1"/>
  <c r="AA42" i="1"/>
  <c r="AE42" i="1" s="1"/>
  <c r="AG42" i="1" s="1"/>
  <c r="AA34" i="1"/>
  <c r="AE34" i="1" s="1"/>
  <c r="AG34" i="1" s="1"/>
  <c r="AA36" i="1"/>
  <c r="AE36" i="1" s="1"/>
  <c r="AG36" i="1" s="1"/>
  <c r="AA38" i="1"/>
  <c r="AE38" i="1" s="1"/>
  <c r="AG38" i="1" s="1"/>
  <c r="AA33" i="1"/>
  <c r="AE33" i="1" s="1"/>
  <c r="AG33" i="1" s="1"/>
  <c r="AA32" i="1"/>
  <c r="AE32" i="1" s="1"/>
  <c r="AG32" i="1" s="1"/>
  <c r="AA31" i="1"/>
  <c r="AE31" i="1" s="1"/>
  <c r="AG31" i="1" s="1"/>
  <c r="AA30" i="1"/>
  <c r="AE30" i="1" s="1"/>
  <c r="AG30" i="1" s="1"/>
  <c r="AC57" i="1"/>
  <c r="AA35" i="1"/>
  <c r="AE35" i="1" s="1"/>
  <c r="AG35" i="1" s="1"/>
  <c r="AA37" i="1"/>
  <c r="AE37" i="1" s="1"/>
  <c r="AG37" i="1" s="1"/>
  <c r="AA29" i="1"/>
  <c r="AE29" i="1" s="1"/>
  <c r="AG29" i="1" s="1"/>
  <c r="AA24" i="1"/>
  <c r="AE24" i="1" s="1"/>
  <c r="AG24" i="1" s="1"/>
  <c r="AA23" i="1"/>
  <c r="AE23" i="1" s="1"/>
  <c r="AG23" i="1" s="1"/>
  <c r="AA28" i="1"/>
  <c r="AE28" i="1" s="1"/>
  <c r="AG28" i="1" s="1"/>
  <c r="AA27" i="1"/>
  <c r="AE27" i="1" s="1"/>
  <c r="AG27" i="1" s="1"/>
  <c r="AA26" i="1"/>
  <c r="AE26" i="1" s="1"/>
  <c r="AG26" i="1" s="1"/>
  <c r="AA25" i="1"/>
  <c r="AE25" i="1" s="1"/>
  <c r="AG25" i="1" s="1"/>
  <c r="AA22" i="1"/>
  <c r="AE22" i="1" s="1"/>
  <c r="AG22" i="1" s="1"/>
  <c r="AA21" i="1"/>
  <c r="AE21" i="1" s="1"/>
  <c r="AG21" i="1" s="1"/>
  <c r="AA20" i="1"/>
  <c r="AE20" i="1" s="1"/>
  <c r="AG20" i="1" s="1"/>
  <c r="AA19" i="1"/>
  <c r="AE19" i="1" s="1"/>
  <c r="AG19" i="1" s="1"/>
  <c r="AA17" i="1"/>
  <c r="AE17" i="1" s="1"/>
  <c r="AG17" i="1" s="1"/>
  <c r="AA14" i="1"/>
  <c r="AE14" i="1" s="1"/>
  <c r="AG14" i="1" s="1"/>
  <c r="AA18" i="1"/>
  <c r="AE18" i="1" s="1"/>
  <c r="AG18" i="1" s="1"/>
  <c r="AA15" i="1"/>
  <c r="AE15" i="1" s="1"/>
  <c r="AG15" i="1" s="1"/>
  <c r="AA13" i="1"/>
  <c r="AE13" i="1" s="1"/>
  <c r="AG13" i="1" s="1"/>
  <c r="AA12" i="1"/>
  <c r="AE12" i="1" s="1"/>
  <c r="AG12" i="1" s="1"/>
  <c r="AA11" i="1"/>
  <c r="AE11" i="1" s="1"/>
  <c r="AG11" i="1" s="1"/>
  <c r="AA16" i="1"/>
  <c r="AE16" i="1" s="1"/>
  <c r="AG16" i="1" s="1"/>
  <c r="AA7" i="1"/>
  <c r="AE7" i="1" s="1"/>
  <c r="AG7" i="1" s="1"/>
  <c r="AA8" i="1"/>
  <c r="AE8" i="1" s="1"/>
  <c r="AG8" i="1" s="1"/>
  <c r="AA10" i="1"/>
  <c r="AE10" i="1" s="1"/>
  <c r="AG10" i="1" s="1"/>
  <c r="AA9" i="1"/>
  <c r="AE9" i="1" s="1"/>
  <c r="AG9" i="1" s="1"/>
  <c r="AA5" i="1"/>
  <c r="AE5" i="1" s="1"/>
  <c r="AG5" i="1" s="1"/>
  <c r="AA6" i="1"/>
  <c r="AE6" i="1" s="1"/>
  <c r="AG6" i="1" s="1"/>
  <c r="AC64" i="1" l="1"/>
  <c r="AC52" i="1"/>
  <c r="AC55" i="1"/>
  <c r="AC66" i="1"/>
  <c r="AC68" i="1"/>
  <c r="AC58" i="1"/>
  <c r="AE58" i="1"/>
  <c r="AG58" i="1" s="1"/>
  <c r="AC60" i="1"/>
  <c r="AE60" i="1"/>
  <c r="AG60" i="1" s="1"/>
  <c r="AC50" i="1"/>
  <c r="AE50" i="1"/>
  <c r="AG50" i="1" s="1"/>
  <c r="AC71" i="1"/>
  <c r="AE71" i="1"/>
  <c r="AG71" i="1" s="1"/>
  <c r="AC69" i="1"/>
  <c r="AE69" i="1"/>
  <c r="AG69" i="1" s="1"/>
  <c r="AC67" i="1"/>
  <c r="AE67" i="1"/>
  <c r="AG67" i="1" s="1"/>
  <c r="AE63" i="1"/>
  <c r="AG63" i="1" s="1"/>
  <c r="AC61" i="1"/>
  <c r="AE61" i="1"/>
  <c r="AG61" i="1" s="1"/>
  <c r="AC53" i="1"/>
  <c r="AC56" i="1"/>
  <c r="AE56" i="1"/>
  <c r="AG56" i="1" s="1"/>
  <c r="AC54" i="1"/>
  <c r="AE54" i="1"/>
  <c r="AG54" i="1" s="1"/>
  <c r="AC65" i="1"/>
  <c r="AC70" i="1"/>
  <c r="J2" i="1" l="1"/>
  <c r="B16" i="1"/>
  <c r="O69" i="1" l="1"/>
  <c r="O71" i="1"/>
  <c r="O62" i="1"/>
  <c r="O64" i="1"/>
  <c r="O65" i="1"/>
  <c r="O66" i="1"/>
  <c r="O68" i="1"/>
  <c r="O70" i="1"/>
  <c r="O61" i="1"/>
  <c r="O67" i="1"/>
  <c r="O50" i="1"/>
  <c r="O52" i="1"/>
  <c r="O54" i="1"/>
  <c r="O55" i="1"/>
  <c r="O58" i="1"/>
  <c r="O59" i="1"/>
  <c r="F50" i="1"/>
  <c r="F52" i="1"/>
  <c r="F55" i="1"/>
  <c r="F61" i="1"/>
  <c r="O51" i="1"/>
  <c r="F51" i="1" s="1"/>
  <c r="O53" i="1"/>
  <c r="O56" i="1"/>
  <c r="O57" i="1"/>
  <c r="O60" i="1"/>
  <c r="F60" i="1" s="1"/>
  <c r="F56" i="1"/>
  <c r="F53" i="1"/>
  <c r="J3" i="1"/>
  <c r="AO2" i="1"/>
  <c r="L2" i="1"/>
  <c r="F2" i="1" s="1"/>
  <c r="Q57" i="1" l="1"/>
  <c r="S57" i="1" s="1"/>
  <c r="P57" i="1"/>
  <c r="Y57" i="1"/>
  <c r="W57" i="1"/>
  <c r="X57" i="1" s="1"/>
  <c r="P53" i="1"/>
  <c r="Q53" i="1"/>
  <c r="S53" i="1" s="1"/>
  <c r="Y53" i="1"/>
  <c r="W53" i="1"/>
  <c r="X53" i="1" s="1"/>
  <c r="P58" i="1"/>
  <c r="Q58" i="1"/>
  <c r="S58" i="1" s="1"/>
  <c r="W58" i="1"/>
  <c r="X58" i="1" s="1"/>
  <c r="Y58" i="1"/>
  <c r="Y54" i="1"/>
  <c r="P54" i="1"/>
  <c r="Q54" i="1"/>
  <c r="S54" i="1" s="1"/>
  <c r="W54" i="1"/>
  <c r="X54" i="1" s="1"/>
  <c r="P50" i="1"/>
  <c r="W50" i="1"/>
  <c r="X50" i="1" s="1"/>
  <c r="Q50" i="1"/>
  <c r="S50" i="1" s="1"/>
  <c r="Y50" i="1"/>
  <c r="Z50" i="1" s="1"/>
  <c r="P70" i="1"/>
  <c r="Q70" i="1"/>
  <c r="S70" i="1" s="1"/>
  <c r="Y70" i="1"/>
  <c r="W70" i="1"/>
  <c r="X70" i="1" s="1"/>
  <c r="Q66" i="1"/>
  <c r="S66" i="1" s="1"/>
  <c r="Y66" i="1"/>
  <c r="P66" i="1"/>
  <c r="W66" i="1"/>
  <c r="X66" i="1" s="1"/>
  <c r="Q64" i="1"/>
  <c r="S64" i="1" s="1"/>
  <c r="Y64" i="1"/>
  <c r="P64" i="1"/>
  <c r="W64" i="1"/>
  <c r="X64" i="1" s="1"/>
  <c r="P71" i="1"/>
  <c r="Y71" i="1"/>
  <c r="Q71" i="1"/>
  <c r="S71" i="1" s="1"/>
  <c r="W71" i="1"/>
  <c r="X71" i="1" s="1"/>
  <c r="F58" i="1"/>
  <c r="F54" i="1"/>
  <c r="P60" i="1"/>
  <c r="Q60" i="1"/>
  <c r="S60" i="1" s="1"/>
  <c r="W60" i="1"/>
  <c r="X60" i="1" s="1"/>
  <c r="Y60" i="1"/>
  <c r="P56" i="1"/>
  <c r="Q56" i="1"/>
  <c r="S56" i="1" s="1"/>
  <c r="Y56" i="1"/>
  <c r="W56" i="1"/>
  <c r="X56" i="1" s="1"/>
  <c r="P51" i="1"/>
  <c r="Q51" i="1"/>
  <c r="S51" i="1" s="1"/>
  <c r="Y51" i="1"/>
  <c r="W51" i="1"/>
  <c r="X51" i="1" s="1"/>
  <c r="F57" i="1"/>
  <c r="F59" i="1"/>
  <c r="Y59" i="1"/>
  <c r="W59" i="1"/>
  <c r="X59" i="1" s="1"/>
  <c r="P59" i="1"/>
  <c r="Q59" i="1"/>
  <c r="S59" i="1" s="1"/>
  <c r="Y55" i="1"/>
  <c r="W55" i="1"/>
  <c r="X55" i="1" s="1"/>
  <c r="Q55" i="1"/>
  <c r="S55" i="1" s="1"/>
  <c r="P55" i="1"/>
  <c r="P52" i="1"/>
  <c r="Q52" i="1"/>
  <c r="S52" i="1" s="1"/>
  <c r="W52" i="1"/>
  <c r="X52" i="1" s="1"/>
  <c r="Y52" i="1"/>
  <c r="P67" i="1"/>
  <c r="Q67" i="1"/>
  <c r="S67" i="1" s="1"/>
  <c r="Y67" i="1"/>
  <c r="W67" i="1"/>
  <c r="X67" i="1" s="1"/>
  <c r="P61" i="1"/>
  <c r="Q61" i="1"/>
  <c r="S61" i="1" s="1"/>
  <c r="Y61" i="1"/>
  <c r="W61" i="1"/>
  <c r="X61" i="1" s="1"/>
  <c r="Q68" i="1"/>
  <c r="S68" i="1" s="1"/>
  <c r="Y68" i="1"/>
  <c r="P68" i="1"/>
  <c r="W68" i="1"/>
  <c r="X68" i="1" s="1"/>
  <c r="Q65" i="1"/>
  <c r="S65" i="1" s="1"/>
  <c r="Y65" i="1"/>
  <c r="W65" i="1"/>
  <c r="X65" i="1" s="1"/>
  <c r="P65" i="1"/>
  <c r="Q62" i="1"/>
  <c r="S62" i="1" s="1"/>
  <c r="Y62" i="1"/>
  <c r="P62" i="1"/>
  <c r="W62" i="1"/>
  <c r="X62" i="1" s="1"/>
  <c r="P69" i="1"/>
  <c r="Y69" i="1"/>
  <c r="Q69" i="1"/>
  <c r="S69" i="1" s="1"/>
  <c r="W69" i="1"/>
  <c r="X69" i="1" s="1"/>
  <c r="J4" i="1"/>
  <c r="L4" i="1" s="1"/>
  <c r="L3" i="1"/>
  <c r="BQ1" i="1"/>
  <c r="BQ2" i="1" s="1"/>
  <c r="BR1" i="1" s="1"/>
  <c r="BR2" i="1" s="1"/>
  <c r="BS1" i="1" s="1"/>
  <c r="BS2" i="1" s="1"/>
  <c r="BT1" i="1" s="1"/>
  <c r="Z61" i="1" l="1"/>
  <c r="Z67" i="1"/>
  <c r="Z55" i="1"/>
  <c r="Z59" i="1"/>
  <c r="Z51" i="1"/>
  <c r="Z56" i="1"/>
  <c r="Z70" i="1"/>
  <c r="Z54" i="1"/>
  <c r="Z53" i="1"/>
  <c r="Z57" i="1"/>
  <c r="Z69" i="1"/>
  <c r="Z62" i="1"/>
  <c r="Z65" i="1"/>
  <c r="Z68" i="1"/>
  <c r="Z52" i="1"/>
  <c r="Z60" i="1"/>
  <c r="Z71" i="1"/>
  <c r="Z64" i="1"/>
  <c r="Z66" i="1"/>
  <c r="Z58" i="1"/>
  <c r="BT2" i="1"/>
  <c r="M2" i="1" s="1"/>
  <c r="N2" i="1" s="1"/>
  <c r="AA2" i="1" l="1"/>
  <c r="AE2" i="1" s="1"/>
  <c r="AG2" i="1" s="1"/>
  <c r="O2" i="1"/>
  <c r="Y2" i="1" s="1"/>
  <c r="AC2" i="1" l="1"/>
  <c r="AP2" i="1" s="1"/>
  <c r="W2" i="1"/>
  <c r="X2" i="1" s="1"/>
  <c r="P2" i="1"/>
  <c r="R2" i="1" s="1"/>
  <c r="Q2" i="1"/>
  <c r="S2" i="1" s="1"/>
  <c r="AS2" i="1" l="1"/>
  <c r="AT2" i="1" s="1"/>
  <c r="AR2" i="1"/>
  <c r="Z2" i="1"/>
  <c r="T2" i="1"/>
  <c r="U2" i="1" s="1"/>
  <c r="AF2" i="1" s="1"/>
  <c r="V2" i="1" l="1"/>
  <c r="AJ2" i="1"/>
  <c r="BA2" i="1" s="1"/>
  <c r="AH2" i="1" l="1"/>
  <c r="AL2" i="1" l="1"/>
  <c r="AI2" i="1"/>
  <c r="AM2" i="1"/>
  <c r="AQ2" i="1"/>
  <c r="AU2" i="1" s="1"/>
  <c r="AN2" i="1" l="1"/>
  <c r="AV2" i="1"/>
  <c r="AW2" i="1"/>
  <c r="AX2" i="1" s="1"/>
  <c r="AY2" i="1" l="1"/>
  <c r="AZ2" i="1" s="1"/>
  <c r="BB2" i="1" s="1"/>
  <c r="H49" i="1"/>
  <c r="I49" i="1" l="1"/>
  <c r="AO49" i="1" l="1"/>
  <c r="O63" i="1"/>
  <c r="W63" i="1"/>
  <c r="X63" i="1" s="1"/>
  <c r="AC63" i="1"/>
  <c r="P63" i="1" l="1"/>
  <c r="Y63" i="1"/>
  <c r="Z63" i="1" s="1"/>
  <c r="Q63" i="1"/>
  <c r="S63" i="1" s="1"/>
  <c r="BV1" i="1"/>
  <c r="BW1" i="1"/>
  <c r="BX1" i="1"/>
  <c r="BY1" i="1"/>
  <c r="CA1" i="1"/>
  <c r="CB1" i="1"/>
  <c r="CC1" i="1"/>
  <c r="CD1" i="1"/>
  <c r="CF1" i="1"/>
  <c r="CG1" i="1"/>
  <c r="CH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BC2" i="1"/>
  <c r="BD2" i="1"/>
  <c r="BE2" i="1"/>
  <c r="BF2" i="1"/>
  <c r="BG2" i="1"/>
  <c r="BH2" i="1"/>
  <c r="BI2" i="1"/>
  <c r="BV2" i="1"/>
  <c r="BW2" i="1"/>
  <c r="BX2" i="1"/>
  <c r="BY2" i="1"/>
  <c r="CA2" i="1"/>
  <c r="CB2" i="1"/>
  <c r="CC2" i="1"/>
  <c r="CD2" i="1"/>
  <c r="CF2" i="1"/>
  <c r="CG2" i="1"/>
  <c r="CH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F3" i="1"/>
  <c r="H3" i="1"/>
  <c r="I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C3" i="1"/>
  <c r="AE3" i="1"/>
  <c r="AF3" i="1"/>
  <c r="AG3" i="1"/>
  <c r="AH3" i="1"/>
  <c r="AI3" i="1"/>
  <c r="AJ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L3" i="1"/>
  <c r="BM3" i="1"/>
  <c r="BN3" i="1"/>
  <c r="BO3" i="1"/>
  <c r="BP3" i="1"/>
  <c r="BQ3" i="1"/>
  <c r="BR3" i="1"/>
  <c r="BS3" i="1"/>
  <c r="BT3" i="1"/>
  <c r="BU3" i="1"/>
  <c r="F4" i="1"/>
  <c r="H4" i="1"/>
  <c r="I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C4" i="1"/>
  <c r="AE4" i="1"/>
  <c r="AF4" i="1"/>
  <c r="AG4" i="1"/>
  <c r="AH4" i="1"/>
  <c r="AI4" i="1"/>
  <c r="AJ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F5" i="1"/>
  <c r="G5" i="1"/>
  <c r="H5" i="1"/>
  <c r="I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C5" i="1"/>
  <c r="AF5" i="1"/>
  <c r="AH5" i="1"/>
  <c r="AI5" i="1"/>
  <c r="AJ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F6" i="1"/>
  <c r="G6" i="1"/>
  <c r="H6" i="1"/>
  <c r="I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C6" i="1"/>
  <c r="AF6" i="1"/>
  <c r="AH6" i="1"/>
  <c r="AI6" i="1"/>
  <c r="AJ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F7" i="1"/>
  <c r="G7" i="1"/>
  <c r="H7" i="1"/>
  <c r="I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C7" i="1"/>
  <c r="AF7" i="1"/>
  <c r="AH7" i="1"/>
  <c r="AI7" i="1"/>
  <c r="AJ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F8" i="1"/>
  <c r="G8" i="1"/>
  <c r="H8" i="1"/>
  <c r="I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C8" i="1"/>
  <c r="AF8" i="1"/>
  <c r="AH8" i="1"/>
  <c r="AI8" i="1"/>
  <c r="AJ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F9" i="1"/>
  <c r="G9" i="1"/>
  <c r="H9" i="1"/>
  <c r="I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C9" i="1"/>
  <c r="AF9" i="1"/>
  <c r="AH9" i="1"/>
  <c r="AI9" i="1"/>
  <c r="AJ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F10" i="1"/>
  <c r="G10" i="1"/>
  <c r="H10" i="1"/>
  <c r="I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C10" i="1"/>
  <c r="AF10" i="1"/>
  <c r="AH10" i="1"/>
  <c r="AI10" i="1"/>
  <c r="AJ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F11" i="1"/>
  <c r="G11" i="1"/>
  <c r="H11" i="1"/>
  <c r="I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C11" i="1"/>
  <c r="AF11" i="1"/>
  <c r="AH11" i="1"/>
  <c r="AI11" i="1"/>
  <c r="AJ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F12" i="1"/>
  <c r="G12" i="1"/>
  <c r="H12" i="1"/>
  <c r="I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C12" i="1"/>
  <c r="AF12" i="1"/>
  <c r="AH12" i="1"/>
  <c r="AI12" i="1"/>
  <c r="AJ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F13" i="1"/>
  <c r="G13" i="1"/>
  <c r="H13" i="1"/>
  <c r="I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C13" i="1"/>
  <c r="AF13" i="1"/>
  <c r="AH13" i="1"/>
  <c r="AI13" i="1"/>
  <c r="AJ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F14" i="1"/>
  <c r="G14" i="1"/>
  <c r="H14" i="1"/>
  <c r="I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C14" i="1"/>
  <c r="AF14" i="1"/>
  <c r="AH14" i="1"/>
  <c r="AI14" i="1"/>
  <c r="AJ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F15" i="1"/>
  <c r="G15" i="1"/>
  <c r="H15" i="1"/>
  <c r="I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C15" i="1"/>
  <c r="AF15" i="1"/>
  <c r="AH15" i="1"/>
  <c r="AI15" i="1"/>
  <c r="AJ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F16" i="1"/>
  <c r="G16" i="1"/>
  <c r="H16" i="1"/>
  <c r="I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C16" i="1"/>
  <c r="AF16" i="1"/>
  <c r="AH16" i="1"/>
  <c r="AI16" i="1"/>
  <c r="AJ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F17" i="1"/>
  <c r="G17" i="1"/>
  <c r="H17" i="1"/>
  <c r="I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C17" i="1"/>
  <c r="AF17" i="1"/>
  <c r="AH17" i="1"/>
  <c r="AI17" i="1"/>
  <c r="AJ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F18" i="1"/>
  <c r="G18" i="1"/>
  <c r="H18" i="1"/>
  <c r="I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C18" i="1"/>
  <c r="AF18" i="1"/>
  <c r="AH18" i="1"/>
  <c r="AI18" i="1"/>
  <c r="AJ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F19" i="1"/>
  <c r="G19" i="1"/>
  <c r="H19" i="1"/>
  <c r="I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C19" i="1"/>
  <c r="AF19" i="1"/>
  <c r="AH19" i="1"/>
  <c r="AI19" i="1"/>
  <c r="AJ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F20" i="1"/>
  <c r="G20" i="1"/>
  <c r="H20" i="1"/>
  <c r="I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C20" i="1"/>
  <c r="AF20" i="1"/>
  <c r="AH20" i="1"/>
  <c r="AI20" i="1"/>
  <c r="AJ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F21" i="1"/>
  <c r="G21" i="1"/>
  <c r="H21" i="1"/>
  <c r="I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C21" i="1"/>
  <c r="AF21" i="1"/>
  <c r="AH21" i="1"/>
  <c r="AI21" i="1"/>
  <c r="AJ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F22" i="1"/>
  <c r="G22" i="1"/>
  <c r="H22" i="1"/>
  <c r="I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C22" i="1"/>
  <c r="AF22" i="1"/>
  <c r="AH22" i="1"/>
  <c r="AI22" i="1"/>
  <c r="AJ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F23" i="1"/>
  <c r="G23" i="1"/>
  <c r="H23" i="1"/>
  <c r="I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C23" i="1"/>
  <c r="AF23" i="1"/>
  <c r="AH23" i="1"/>
  <c r="AI23" i="1"/>
  <c r="AJ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F24" i="1"/>
  <c r="G24" i="1"/>
  <c r="H24" i="1"/>
  <c r="I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C24" i="1"/>
  <c r="AF24" i="1"/>
  <c r="AH24" i="1"/>
  <c r="AI24" i="1"/>
  <c r="AJ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F25" i="1"/>
  <c r="G25" i="1"/>
  <c r="H25" i="1"/>
  <c r="I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C25" i="1"/>
  <c r="AF25" i="1"/>
  <c r="AH25" i="1"/>
  <c r="AI25" i="1"/>
  <c r="AJ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F26" i="1"/>
  <c r="G26" i="1"/>
  <c r="H26" i="1"/>
  <c r="I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C26" i="1"/>
  <c r="AF26" i="1"/>
  <c r="AH26" i="1"/>
  <c r="AI26" i="1"/>
  <c r="AJ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F27" i="1"/>
  <c r="G27" i="1"/>
  <c r="H27" i="1"/>
  <c r="I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C27" i="1"/>
  <c r="AF27" i="1"/>
  <c r="AH27" i="1"/>
  <c r="AI27" i="1"/>
  <c r="AJ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F28" i="1"/>
  <c r="G28" i="1"/>
  <c r="H28" i="1"/>
  <c r="I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C28" i="1"/>
  <c r="AF28" i="1"/>
  <c r="AH28" i="1"/>
  <c r="AI28" i="1"/>
  <c r="AJ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F29" i="1"/>
  <c r="G29" i="1"/>
  <c r="H29" i="1"/>
  <c r="I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C29" i="1"/>
  <c r="AF29" i="1"/>
  <c r="AH29" i="1"/>
  <c r="AI29" i="1"/>
  <c r="AJ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F30" i="1"/>
  <c r="G30" i="1"/>
  <c r="H30" i="1"/>
  <c r="I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C30" i="1"/>
  <c r="AF30" i="1"/>
  <c r="AH30" i="1"/>
  <c r="AI30" i="1"/>
  <c r="AJ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F31" i="1"/>
  <c r="G31" i="1"/>
  <c r="H31" i="1"/>
  <c r="I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C31" i="1"/>
  <c r="AF31" i="1"/>
  <c r="AH31" i="1"/>
  <c r="AI31" i="1"/>
  <c r="AJ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F32" i="1"/>
  <c r="G32" i="1"/>
  <c r="H32" i="1"/>
  <c r="I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C32" i="1"/>
  <c r="AF32" i="1"/>
  <c r="AH32" i="1"/>
  <c r="AI32" i="1"/>
  <c r="AJ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F33" i="1"/>
  <c r="G33" i="1"/>
  <c r="H33" i="1"/>
  <c r="I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C33" i="1"/>
  <c r="AF33" i="1"/>
  <c r="AH33" i="1"/>
  <c r="AI33" i="1"/>
  <c r="AJ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F34" i="1"/>
  <c r="G34" i="1"/>
  <c r="H34" i="1"/>
  <c r="I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C34" i="1"/>
  <c r="AF34" i="1"/>
  <c r="AH34" i="1"/>
  <c r="AI34" i="1"/>
  <c r="AJ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F35" i="1"/>
  <c r="G35" i="1"/>
  <c r="H35" i="1"/>
  <c r="I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C35" i="1"/>
  <c r="AF35" i="1"/>
  <c r="AH35" i="1"/>
  <c r="AI35" i="1"/>
  <c r="AJ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F36" i="1"/>
  <c r="G36" i="1"/>
  <c r="H36" i="1"/>
  <c r="I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C36" i="1"/>
  <c r="AF36" i="1"/>
  <c r="AH36" i="1"/>
  <c r="AI36" i="1"/>
  <c r="AJ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F37" i="1"/>
  <c r="G37" i="1"/>
  <c r="H37" i="1"/>
  <c r="I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C37" i="1"/>
  <c r="AF37" i="1"/>
  <c r="AH37" i="1"/>
  <c r="AI37" i="1"/>
  <c r="AJ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F38" i="1"/>
  <c r="G38" i="1"/>
  <c r="H38" i="1"/>
  <c r="I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C38" i="1"/>
  <c r="AF38" i="1"/>
  <c r="AH38" i="1"/>
  <c r="AI38" i="1"/>
  <c r="AJ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F39" i="1"/>
  <c r="G39" i="1"/>
  <c r="H39" i="1"/>
  <c r="I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C39" i="1"/>
  <c r="AF39" i="1"/>
  <c r="AH39" i="1"/>
  <c r="AI39" i="1"/>
  <c r="AJ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F40" i="1"/>
  <c r="G40" i="1"/>
  <c r="H40" i="1"/>
  <c r="I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C40" i="1"/>
  <c r="AF40" i="1"/>
  <c r="AH40" i="1"/>
  <c r="AI40" i="1"/>
  <c r="AJ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F41" i="1"/>
  <c r="G41" i="1"/>
  <c r="H41" i="1"/>
  <c r="I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C41" i="1"/>
  <c r="AF41" i="1"/>
  <c r="AH41" i="1"/>
  <c r="AI41" i="1"/>
  <c r="AJ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F42" i="1"/>
  <c r="G42" i="1"/>
  <c r="H42" i="1"/>
  <c r="I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C42" i="1"/>
  <c r="AF42" i="1"/>
  <c r="AH42" i="1"/>
  <c r="AI42" i="1"/>
  <c r="AJ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F43" i="1"/>
  <c r="G43" i="1"/>
  <c r="H43" i="1"/>
  <c r="I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C43" i="1"/>
  <c r="AF43" i="1"/>
  <c r="AH43" i="1"/>
  <c r="AI43" i="1"/>
  <c r="AJ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F44" i="1"/>
  <c r="G44" i="1"/>
  <c r="H44" i="1"/>
  <c r="I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C44" i="1"/>
  <c r="AF44" i="1"/>
  <c r="AH44" i="1"/>
  <c r="AI44" i="1"/>
  <c r="AJ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F45" i="1"/>
  <c r="G45" i="1"/>
  <c r="H45" i="1"/>
  <c r="I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C45" i="1"/>
  <c r="AF45" i="1"/>
  <c r="AH45" i="1"/>
  <c r="AI45" i="1"/>
  <c r="AJ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F46" i="1"/>
  <c r="G46" i="1"/>
  <c r="H46" i="1"/>
  <c r="I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C46" i="1"/>
  <c r="AF46" i="1"/>
  <c r="AH46" i="1"/>
  <c r="AI46" i="1"/>
  <c r="AJ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F47" i="1"/>
  <c r="G47" i="1"/>
  <c r="H47" i="1"/>
  <c r="I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C47" i="1"/>
  <c r="AF47" i="1"/>
  <c r="AH47" i="1"/>
  <c r="AI47" i="1"/>
  <c r="AJ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F48" i="1"/>
  <c r="G48" i="1"/>
  <c r="H48" i="1"/>
  <c r="I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C48" i="1"/>
  <c r="AF48" i="1"/>
  <c r="AH48" i="1"/>
  <c r="AI48" i="1"/>
  <c r="AJ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F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C49" i="1"/>
  <c r="AF49" i="1"/>
  <c r="AH49" i="1"/>
  <c r="AI49" i="1"/>
  <c r="AJ49" i="1"/>
  <c r="AL49" i="1"/>
  <c r="AM49" i="1"/>
  <c r="AN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H50" i="1"/>
  <c r="I50" i="1"/>
  <c r="R50" i="1"/>
  <c r="T50" i="1"/>
  <c r="U50" i="1"/>
  <c r="V50" i="1"/>
  <c r="AF50" i="1"/>
  <c r="AH50" i="1"/>
  <c r="AI50" i="1"/>
  <c r="AJ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M50" i="1"/>
  <c r="BN50" i="1"/>
  <c r="G51" i="1"/>
  <c r="H51" i="1"/>
  <c r="I51" i="1"/>
  <c r="R51" i="1"/>
  <c r="T51" i="1"/>
  <c r="U51" i="1"/>
  <c r="V51" i="1"/>
  <c r="AF51" i="1"/>
  <c r="AH51" i="1"/>
  <c r="AI51" i="1"/>
  <c r="AJ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M51" i="1"/>
  <c r="BN51" i="1"/>
  <c r="H52" i="1"/>
  <c r="I52" i="1"/>
  <c r="R52" i="1"/>
  <c r="T52" i="1"/>
  <c r="U52" i="1"/>
  <c r="V52" i="1"/>
  <c r="AF52" i="1"/>
  <c r="AH52" i="1"/>
  <c r="AI52" i="1"/>
  <c r="AJ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M52" i="1"/>
  <c r="BN52" i="1"/>
  <c r="G53" i="1"/>
  <c r="H53" i="1"/>
  <c r="I53" i="1"/>
  <c r="R53" i="1"/>
  <c r="T53" i="1"/>
  <c r="U53" i="1"/>
  <c r="V53" i="1"/>
  <c r="AF53" i="1"/>
  <c r="AH53" i="1"/>
  <c r="AI53" i="1"/>
  <c r="AJ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M53" i="1"/>
  <c r="BN53" i="1"/>
  <c r="G54" i="1"/>
  <c r="H54" i="1"/>
  <c r="I54" i="1"/>
  <c r="R54" i="1"/>
  <c r="T54" i="1"/>
  <c r="U54" i="1"/>
  <c r="V54" i="1"/>
  <c r="AF54" i="1"/>
  <c r="AH54" i="1"/>
  <c r="AI54" i="1"/>
  <c r="AJ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M54" i="1"/>
  <c r="BN54" i="1"/>
  <c r="H55" i="1"/>
  <c r="I55" i="1"/>
  <c r="R55" i="1"/>
  <c r="T55" i="1"/>
  <c r="U55" i="1"/>
  <c r="V55" i="1"/>
  <c r="AF55" i="1"/>
  <c r="AH55" i="1"/>
  <c r="AI55" i="1"/>
  <c r="AJ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M55" i="1"/>
  <c r="BN55" i="1"/>
  <c r="G56" i="1"/>
  <c r="H56" i="1"/>
  <c r="I56" i="1"/>
  <c r="R56" i="1"/>
  <c r="T56" i="1"/>
  <c r="U56" i="1"/>
  <c r="V56" i="1"/>
  <c r="AF56" i="1"/>
  <c r="AH56" i="1"/>
  <c r="AI56" i="1"/>
  <c r="AJ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M56" i="1"/>
  <c r="BN56" i="1"/>
  <c r="G57" i="1"/>
  <c r="H57" i="1"/>
  <c r="I57" i="1"/>
  <c r="R57" i="1"/>
  <c r="T57" i="1"/>
  <c r="U57" i="1"/>
  <c r="V57" i="1"/>
  <c r="AF57" i="1"/>
  <c r="AH57" i="1"/>
  <c r="AI57" i="1"/>
  <c r="AJ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M57" i="1"/>
  <c r="BN57" i="1"/>
  <c r="H58" i="1"/>
  <c r="I58" i="1"/>
  <c r="R58" i="1"/>
  <c r="T58" i="1"/>
  <c r="U58" i="1"/>
  <c r="V58" i="1"/>
  <c r="AF58" i="1"/>
  <c r="AH58" i="1"/>
  <c r="AI58" i="1"/>
  <c r="AJ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M58" i="1"/>
  <c r="BN58" i="1"/>
  <c r="G59" i="1"/>
  <c r="H59" i="1"/>
  <c r="I59" i="1"/>
  <c r="R59" i="1"/>
  <c r="T59" i="1"/>
  <c r="U59" i="1"/>
  <c r="V59" i="1"/>
  <c r="AF59" i="1"/>
  <c r="AH59" i="1"/>
  <c r="AI59" i="1"/>
  <c r="AJ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M59" i="1"/>
  <c r="BN59" i="1"/>
  <c r="H60" i="1"/>
  <c r="I60" i="1"/>
  <c r="R60" i="1"/>
  <c r="T60" i="1"/>
  <c r="U60" i="1"/>
  <c r="V60" i="1"/>
  <c r="AF60" i="1"/>
  <c r="AH60" i="1"/>
  <c r="AI60" i="1"/>
  <c r="AJ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61" i="1"/>
  <c r="C61" i="1"/>
  <c r="G61" i="1"/>
  <c r="H61" i="1"/>
  <c r="I61" i="1"/>
  <c r="R61" i="1"/>
  <c r="T61" i="1"/>
  <c r="U61" i="1"/>
  <c r="V61" i="1"/>
  <c r="AF61" i="1"/>
  <c r="AH61" i="1"/>
  <c r="AI61" i="1"/>
  <c r="AJ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H62" i="1"/>
  <c r="I62" i="1"/>
  <c r="R62" i="1"/>
  <c r="T62" i="1"/>
  <c r="U62" i="1"/>
  <c r="V62" i="1"/>
  <c r="AF62" i="1"/>
  <c r="AH62" i="1"/>
  <c r="AI62" i="1"/>
  <c r="AJ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G63" i="1"/>
  <c r="H63" i="1"/>
  <c r="I63" i="1"/>
  <c r="R63" i="1"/>
  <c r="T63" i="1"/>
  <c r="U63" i="1"/>
  <c r="V63" i="1"/>
  <c r="AF63" i="1"/>
  <c r="AH63" i="1"/>
  <c r="AI63" i="1"/>
  <c r="AJ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H64" i="1"/>
  <c r="I64" i="1"/>
  <c r="R64" i="1"/>
  <c r="T64" i="1"/>
  <c r="U64" i="1"/>
  <c r="V64" i="1"/>
  <c r="AF64" i="1"/>
  <c r="AH64" i="1"/>
  <c r="AI64" i="1"/>
  <c r="AJ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G65" i="1"/>
  <c r="H65" i="1"/>
  <c r="I65" i="1"/>
  <c r="R65" i="1"/>
  <c r="T65" i="1"/>
  <c r="U65" i="1"/>
  <c r="V65" i="1"/>
  <c r="AF65" i="1"/>
  <c r="AH65" i="1"/>
  <c r="AI65" i="1"/>
  <c r="AJ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H66" i="1"/>
  <c r="I66" i="1"/>
  <c r="R66" i="1"/>
  <c r="T66" i="1"/>
  <c r="U66" i="1"/>
  <c r="V66" i="1"/>
  <c r="AF66" i="1"/>
  <c r="AH66" i="1"/>
  <c r="AI66" i="1"/>
  <c r="AJ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G67" i="1"/>
  <c r="H67" i="1"/>
  <c r="I67" i="1"/>
  <c r="R67" i="1"/>
  <c r="T67" i="1"/>
  <c r="U67" i="1"/>
  <c r="V67" i="1"/>
  <c r="AF67" i="1"/>
  <c r="AH67" i="1"/>
  <c r="AI67" i="1"/>
  <c r="AJ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H68" i="1"/>
  <c r="I68" i="1"/>
  <c r="R68" i="1"/>
  <c r="T68" i="1"/>
  <c r="U68" i="1"/>
  <c r="V68" i="1"/>
  <c r="AF68" i="1"/>
  <c r="AH68" i="1"/>
  <c r="AI68" i="1"/>
  <c r="AJ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G69" i="1"/>
  <c r="H69" i="1"/>
  <c r="I69" i="1"/>
  <c r="R69" i="1"/>
  <c r="T69" i="1"/>
  <c r="U69" i="1"/>
  <c r="V69" i="1"/>
  <c r="AF69" i="1"/>
  <c r="AH69" i="1"/>
  <c r="AI69" i="1"/>
  <c r="AJ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H70" i="1"/>
  <c r="I70" i="1"/>
  <c r="R70" i="1"/>
  <c r="T70" i="1"/>
  <c r="U70" i="1"/>
  <c r="V70" i="1"/>
  <c r="AF70" i="1"/>
  <c r="AH70" i="1"/>
  <c r="AI70" i="1"/>
  <c r="AJ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G71" i="1"/>
  <c r="H71" i="1"/>
  <c r="I71" i="1"/>
  <c r="R71" i="1"/>
  <c r="T71" i="1"/>
  <c r="U71" i="1"/>
  <c r="V71" i="1"/>
  <c r="AF71" i="1"/>
  <c r="AH71" i="1"/>
  <c r="AI71" i="1"/>
  <c r="AJ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</calcChain>
</file>

<file path=xl/sharedStrings.xml><?xml version="1.0" encoding="utf-8"?>
<sst xmlns="http://schemas.openxmlformats.org/spreadsheetml/2006/main" count="122" uniqueCount="110">
  <si>
    <t xml:space="preserve">Datos </t>
  </si>
  <si>
    <t>°API</t>
  </si>
  <si>
    <t>Pwh</t>
  </si>
  <si>
    <t>Unidades</t>
  </si>
  <si>
    <t>psia</t>
  </si>
  <si>
    <t>Tr</t>
  </si>
  <si>
    <t>in</t>
  </si>
  <si>
    <t>Tp1</t>
  </si>
  <si>
    <t>Tp2</t>
  </si>
  <si>
    <t>Ɛ</t>
  </si>
  <si>
    <t>ϒg</t>
  </si>
  <si>
    <t>L</t>
  </si>
  <si>
    <t>ft</t>
  </si>
  <si>
    <t>Temp cabeza</t>
  </si>
  <si>
    <t>Temp fondo</t>
  </si>
  <si>
    <t>°F</t>
  </si>
  <si>
    <t>RGA</t>
  </si>
  <si>
    <t>m^3/m^3</t>
  </si>
  <si>
    <t>Qo</t>
  </si>
  <si>
    <t>bpd</t>
  </si>
  <si>
    <t>Pwf</t>
  </si>
  <si>
    <t>Pws</t>
  </si>
  <si>
    <t>Rs</t>
  </si>
  <si>
    <t>RsSUP</t>
  </si>
  <si>
    <t>ϒgdSUP</t>
  </si>
  <si>
    <t>ϒgl</t>
  </si>
  <si>
    <t>Pent [psia]</t>
  </si>
  <si>
    <t>Pprom [psia]</t>
  </si>
  <si>
    <t>Temp entrada [F]</t>
  </si>
  <si>
    <t>Temp salida [F]</t>
  </si>
  <si>
    <t>Temp prom [F]</t>
  </si>
  <si>
    <t>Ppc [psia]</t>
  </si>
  <si>
    <t>Tpc [R]</t>
  </si>
  <si>
    <t>Tpr</t>
  </si>
  <si>
    <t>Ppr</t>
  </si>
  <si>
    <t>Z</t>
  </si>
  <si>
    <t>Bg</t>
  </si>
  <si>
    <t>Patm</t>
  </si>
  <si>
    <t>ρg @cf</t>
  </si>
  <si>
    <t>ρaire</t>
  </si>
  <si>
    <t>lb/ft3</t>
  </si>
  <si>
    <t>X</t>
  </si>
  <si>
    <t>ϒo</t>
  </si>
  <si>
    <t>Bo</t>
  </si>
  <si>
    <t>Mo</t>
  </si>
  <si>
    <t>cp</t>
  </si>
  <si>
    <t>Atotal</t>
  </si>
  <si>
    <t>Qo@ce (propuesto)</t>
  </si>
  <si>
    <t>Qo@cf [ft3/s]</t>
  </si>
  <si>
    <t>Qg@cf</t>
  </si>
  <si>
    <t>Vsl</t>
  </si>
  <si>
    <t>Vsg</t>
  </si>
  <si>
    <t>Vm</t>
  </si>
  <si>
    <t>λL</t>
  </si>
  <si>
    <t>H&amp;B</t>
  </si>
  <si>
    <t>A</t>
  </si>
  <si>
    <t>B</t>
  </si>
  <si>
    <t>B-A</t>
  </si>
  <si>
    <t>Nlv</t>
  </si>
  <si>
    <r>
      <rPr>
        <b/>
        <sz val="11"/>
        <color theme="1"/>
        <rFont val="Calibri"/>
        <family val="2"/>
      </rPr>
      <t>σ</t>
    </r>
    <r>
      <rPr>
        <b/>
        <sz val="8.8000000000000007"/>
        <color theme="1"/>
        <rFont val="Calibri"/>
        <family val="2"/>
      </rPr>
      <t>o</t>
    </r>
  </si>
  <si>
    <t>ϒw</t>
  </si>
  <si>
    <t>Ngv</t>
  </si>
  <si>
    <t>Nd</t>
  </si>
  <si>
    <t>Nlm</t>
  </si>
  <si>
    <t>Nlc</t>
  </si>
  <si>
    <t>Pb</t>
  </si>
  <si>
    <t>x</t>
  </si>
  <si>
    <t>y</t>
  </si>
  <si>
    <t>k</t>
  </si>
  <si>
    <t>(Dato)</t>
  </si>
  <si>
    <t>ρo@Cflujo</t>
  </si>
  <si>
    <t>𝐻𝐿∕𝜓</t>
  </si>
  <si>
    <t>zi</t>
  </si>
  <si>
    <t>𝜓</t>
  </si>
  <si>
    <t>HL= (𝜓*HL)/𝜓</t>
  </si>
  <si>
    <t>Pm</t>
  </si>
  <si>
    <t>Uns</t>
  </si>
  <si>
    <t>f0</t>
  </si>
  <si>
    <t>NRE</t>
  </si>
  <si>
    <t>dP/dht</t>
  </si>
  <si>
    <t>dP</t>
  </si>
  <si>
    <t>Psalida</t>
  </si>
  <si>
    <t>Error</t>
  </si>
  <si>
    <t>Psupuesta [psia]</t>
  </si>
  <si>
    <t>fi</t>
  </si>
  <si>
    <t>1 ITE</t>
  </si>
  <si>
    <t>2ITE</t>
  </si>
  <si>
    <t>fo</t>
  </si>
  <si>
    <t>3ITE</t>
  </si>
  <si>
    <t>Tsal</t>
  </si>
  <si>
    <t>m</t>
  </si>
  <si>
    <t>Celda 1 0-100</t>
  </si>
  <si>
    <t>Celda 2 100-200</t>
  </si>
  <si>
    <t>Celda 3 200-300</t>
  </si>
  <si>
    <t>Celda 4 300-400</t>
  </si>
  <si>
    <t>Celda 5 400-500</t>
  </si>
  <si>
    <t>Celda 6 500-600</t>
  </si>
  <si>
    <t>Celda 6 600-700</t>
  </si>
  <si>
    <t>Celda 7 700-800</t>
  </si>
  <si>
    <t>Celda 8 800-900</t>
  </si>
  <si>
    <t>Celda 9</t>
  </si>
  <si>
    <t>Celda 10</t>
  </si>
  <si>
    <t>Celda 11</t>
  </si>
  <si>
    <t>Celda 12</t>
  </si>
  <si>
    <t>Celda 13</t>
  </si>
  <si>
    <t>Celda 14</t>
  </si>
  <si>
    <t>Celda 15</t>
  </si>
  <si>
    <t>Celda 16</t>
  </si>
  <si>
    <t>Celda 17</t>
  </si>
  <si>
    <t>CELDA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</si>
</sst>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8.8000000000000007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D4BA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0" fontId="0" fillId="3" borderId="0" xfId="0" applyFill="1"/>
    <xf numFmtId="0" fontId="3" fillId="0" borderId="0" xfId="0" applyFont="1"/>
    <xf numFmtId="0" fontId="1" fillId="4" borderId="0" xfId="0" applyFont="1" applyFill="1"/>
    <xf numFmtId="0" fontId="4" fillId="0" borderId="0" xfId="1"/>
    <xf numFmtId="0" fontId="3" fillId="0" borderId="0" xfId="0" applyFont="1" applyBorder="1"/>
    <xf numFmtId="0" fontId="0" fillId="0" borderId="3" xfId="0" applyBorder="1"/>
    <xf numFmtId="0" fontId="0" fillId="0" borderId="4" xfId="0" applyBorder="1"/>
    <xf numFmtId="0" fontId="2" fillId="0" borderId="3" xfId="0" applyFont="1" applyBorder="1"/>
    <xf numFmtId="0" fontId="0" fillId="0" borderId="5" xfId="0" applyBorder="1"/>
    <xf numFmtId="0" fontId="0" fillId="0" borderId="6" xfId="0" applyBorder="1"/>
    <xf numFmtId="0" fontId="1" fillId="5" borderId="1" xfId="0" applyFont="1" applyFill="1" applyBorder="1"/>
    <xf numFmtId="0" fontId="0" fillId="5" borderId="2" xfId="0" applyFill="1" applyBorder="1"/>
    <xf numFmtId="0" fontId="4" fillId="6" borderId="8" xfId="1" applyFill="1" applyBorder="1" applyAlignment="1"/>
    <xf numFmtId="0" fontId="4" fillId="6" borderId="7" xfId="1" applyFill="1" applyBorder="1" applyAlignment="1">
      <alignment wrapText="1"/>
    </xf>
    <xf numFmtId="0" fontId="4" fillId="0" borderId="3" xfId="1" applyBorder="1" applyAlignment="1">
      <alignment wrapText="1"/>
    </xf>
    <xf numFmtId="0" fontId="1" fillId="3" borderId="0" xfId="0" applyFont="1" applyFill="1"/>
    <xf numFmtId="0" fontId="1" fillId="7" borderId="0" xfId="0" applyFont="1" applyFill="1"/>
    <xf numFmtId="0" fontId="0" fillId="7" borderId="0" xfId="0" applyFill="1"/>
    <xf numFmtId="0" fontId="6" fillId="4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Fill="1"/>
    <xf numFmtId="0" fontId="0" fillId="4" borderId="0" xfId="0" applyFill="1"/>
    <xf numFmtId="0" fontId="6" fillId="7" borderId="0" xfId="0" applyFont="1" applyFill="1"/>
    <xf numFmtId="0" fontId="0" fillId="2" borderId="0" xfId="0" applyFill="1"/>
    <xf numFmtId="0" fontId="0" fillId="8" borderId="0" xfId="0" applyFill="1"/>
    <xf numFmtId="0" fontId="0" fillId="8" borderId="0" xfId="0" applyFont="1" applyFill="1"/>
    <xf numFmtId="0" fontId="0" fillId="8" borderId="0" xfId="0" applyFill="1" applyAlignment="1">
      <alignment horizontal="left"/>
    </xf>
    <xf numFmtId="0" fontId="0" fillId="8" borderId="0" xfId="0" applyFill="1" applyBorder="1"/>
    <xf numFmtId="0" fontId="1" fillId="8" borderId="0" xfId="0" applyFont="1" applyFill="1"/>
    <xf numFmtId="0" fontId="1" fillId="9" borderId="0" xfId="0" applyFont="1" applyFill="1"/>
    <xf numFmtId="0" fontId="0" fillId="9" borderId="0" xfId="0" applyFill="1"/>
    <xf numFmtId="0" fontId="0" fillId="9" borderId="0" xfId="0" applyFont="1" applyFill="1"/>
    <xf numFmtId="0" fontId="0" fillId="9" borderId="0" xfId="0" applyFill="1" applyAlignment="1">
      <alignment horizontal="left"/>
    </xf>
    <xf numFmtId="0" fontId="0" fillId="10" borderId="0" xfId="0" applyFill="1"/>
    <xf numFmtId="0" fontId="0" fillId="10" borderId="0" xfId="0" applyFont="1" applyFill="1"/>
    <xf numFmtId="0" fontId="0" fillId="10" borderId="0" xfId="0" applyFill="1" applyAlignment="1">
      <alignment horizontal="left"/>
    </xf>
    <xf numFmtId="0" fontId="0" fillId="11" borderId="0" xfId="0" applyFill="1"/>
    <xf numFmtId="0" fontId="0" fillId="11" borderId="0" xfId="0" applyFont="1" applyFill="1"/>
    <xf numFmtId="0" fontId="0" fillId="11" borderId="0" xfId="0" applyFill="1" applyAlignment="1">
      <alignment horizontal="left"/>
    </xf>
    <xf numFmtId="0" fontId="6" fillId="3" borderId="0" xfId="0" applyFont="1" applyFill="1"/>
    <xf numFmtId="0" fontId="0" fillId="12" borderId="0" xfId="0" applyFill="1"/>
    <xf numFmtId="0" fontId="0" fillId="13" borderId="0" xfId="0" applyFill="1"/>
    <xf numFmtId="0" fontId="0" fillId="13" borderId="0" xfId="0" applyFont="1" applyFill="1"/>
    <xf numFmtId="0" fontId="0" fillId="13" borderId="0" xfId="0" applyFill="1" applyAlignment="1">
      <alignment horizontal="left"/>
    </xf>
    <xf numFmtId="0" fontId="0" fillId="14" borderId="0" xfId="0" applyFill="1"/>
    <xf numFmtId="0" fontId="0" fillId="14" borderId="0" xfId="0" applyFont="1" applyFill="1"/>
    <xf numFmtId="0" fontId="0" fillId="14" borderId="0" xfId="0" applyFill="1" applyAlignment="1">
      <alignment horizontal="left"/>
    </xf>
    <xf numFmtId="0" fontId="7" fillId="7" borderId="0" xfId="0" applyFont="1" applyFill="1"/>
    <xf numFmtId="0" fontId="0" fillId="15" borderId="0" xfId="0" applyFill="1"/>
    <xf numFmtId="0" fontId="0" fillId="15" borderId="0" xfId="0" applyFont="1" applyFill="1"/>
    <xf numFmtId="0" fontId="0" fillId="15" borderId="0" xfId="0" applyFill="1" applyAlignment="1">
      <alignment horizontal="left"/>
    </xf>
    <xf numFmtId="0" fontId="0" fillId="16" borderId="0" xfId="0" applyFill="1"/>
    <xf numFmtId="0" fontId="0" fillId="16" borderId="0" xfId="0" applyFont="1" applyFill="1"/>
    <xf numFmtId="0" fontId="0" fillId="16" borderId="0" xfId="0" applyFill="1" applyAlignment="1">
      <alignment horizontal="left"/>
    </xf>
    <xf numFmtId="0" fontId="0" fillId="17" borderId="0" xfId="0" applyFill="1"/>
    <xf numFmtId="0" fontId="0" fillId="17" borderId="0" xfId="0" applyFont="1" applyFill="1"/>
    <xf numFmtId="0" fontId="0" fillId="17" borderId="0" xfId="0" applyFill="1" applyAlignment="1">
      <alignment horizontal="left"/>
    </xf>
    <xf numFmtId="0" fontId="0" fillId="18" borderId="0" xfId="0" applyFill="1"/>
    <xf numFmtId="0" fontId="0" fillId="18" borderId="0" xfId="0" applyFont="1" applyFill="1"/>
    <xf numFmtId="0" fontId="0" fillId="18" borderId="0" xfId="0" applyFill="1" applyAlignment="1">
      <alignment horizontal="left"/>
    </xf>
    <xf numFmtId="164" fontId="0" fillId="0" borderId="0" xfId="0" applyNumberFormat="1"/>
    <xf numFmtId="0" fontId="8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D4BADE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553584"/>
        <c:axId val="203550840"/>
      </c:barChart>
      <c:catAx>
        <c:axId val="203553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3550840"/>
        <c:crosses val="autoZero"/>
        <c:auto val="1"/>
        <c:lblAlgn val="ctr"/>
        <c:lblOffset val="100"/>
        <c:noMultiLvlLbl val="0"/>
      </c:catAx>
      <c:valAx>
        <c:axId val="20355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355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90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471016</xdr:colOff>
      <xdr:row>0</xdr:row>
      <xdr:rowOff>10468</xdr:rowOff>
    </xdr:from>
    <xdr:ext cx="2105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="" xmlns:a16="http://schemas.microsoft.com/office/drawing/2014/main" id="{CF463335-86F0-4C89-8EDB-56990B87A7B8}"/>
                </a:ext>
              </a:extLst>
            </xdr:cNvPr>
            <xdr:cNvSpPr txBox="1"/>
          </xdr:nvSpPr>
          <xdr:spPr>
            <a:xfrm>
              <a:off x="16726318" y="10468"/>
              <a:ext cx="210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𝑔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F463335-86F0-4C89-8EDB-56990B87A7B8}"/>
                </a:ext>
              </a:extLst>
            </xdr:cNvPr>
            <xdr:cNvSpPr txBox="1"/>
          </xdr:nvSpPr>
          <xdr:spPr>
            <a:xfrm>
              <a:off x="16726318" y="10468"/>
              <a:ext cx="210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𝜇</a:t>
              </a:r>
              <a:r>
                <a:rPr lang="en-US" sz="1100" b="0" i="0">
                  <a:latin typeface="Cambria Math" panose="02040503050406030204" pitchFamily="18" charset="0"/>
                </a:rPr>
                <a:t>𝑔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27</xdr:col>
      <xdr:colOff>537169</xdr:colOff>
      <xdr:row>0</xdr:row>
      <xdr:rowOff>24283</xdr:rowOff>
    </xdr:from>
    <xdr:ext cx="1781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="" xmlns:a16="http://schemas.microsoft.com/office/drawing/2014/main" id="{DCAFCA14-A876-4FC6-87B5-04FEE16D592F}"/>
                </a:ext>
              </a:extLst>
            </xdr:cNvPr>
            <xdr:cNvSpPr txBox="1"/>
          </xdr:nvSpPr>
          <xdr:spPr>
            <a:xfrm>
              <a:off x="20696674" y="24283"/>
              <a:ext cx="1781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sz="1100" i="0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DCAFCA14-A876-4FC6-87B5-04FEE16D592F}"/>
                </a:ext>
              </a:extLst>
            </xdr:cNvPr>
            <xdr:cNvSpPr txBox="1"/>
          </xdr:nvSpPr>
          <xdr:spPr>
            <a:xfrm>
              <a:off x="20696674" y="24283"/>
              <a:ext cx="1781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𝑢_0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44</xdr:col>
      <xdr:colOff>432497</xdr:colOff>
      <xdr:row>0</xdr:row>
      <xdr:rowOff>104671</xdr:rowOff>
    </xdr:from>
    <xdr:ext cx="254172" cy="248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="" xmlns:a16="http://schemas.microsoft.com/office/drawing/2014/main" id="{060DB70F-7C4E-4625-ADA1-CA078F6BFFBE}"/>
                </a:ext>
              </a:extLst>
            </xdr:cNvPr>
            <xdr:cNvSpPr txBox="1"/>
          </xdr:nvSpPr>
          <xdr:spPr>
            <a:xfrm>
              <a:off x="33665327" y="104671"/>
              <a:ext cx="254172" cy="248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𝐿𝑢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60DB70F-7C4E-4625-ADA1-CA078F6BFFBE}"/>
                </a:ext>
              </a:extLst>
            </xdr:cNvPr>
            <xdr:cNvSpPr txBox="1"/>
          </xdr:nvSpPr>
          <xdr:spPr>
            <a:xfrm>
              <a:off x="33665327" y="104671"/>
              <a:ext cx="254172" cy="248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𝑁_𝐿𝑢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52</xdr:col>
      <xdr:colOff>317360</xdr:colOff>
      <xdr:row>0</xdr:row>
      <xdr:rowOff>118486</xdr:rowOff>
    </xdr:from>
    <xdr:ext cx="2338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="" xmlns:a16="http://schemas.microsoft.com/office/drawing/2014/main" id="{FEA74C0B-4A29-4E1B-B7F8-EA745D691E46}"/>
                </a:ext>
              </a:extLst>
            </xdr:cNvPr>
            <xdr:cNvSpPr txBox="1"/>
          </xdr:nvSpPr>
          <xdr:spPr>
            <a:xfrm>
              <a:off x="40092085" y="118486"/>
              <a:ext cx="2338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𝑛𝑠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EA74C0B-4A29-4E1B-B7F8-EA745D691E46}"/>
                </a:ext>
              </a:extLst>
            </xdr:cNvPr>
            <xdr:cNvSpPr txBox="1"/>
          </xdr:nvSpPr>
          <xdr:spPr>
            <a:xfrm>
              <a:off x="40092085" y="118486"/>
              <a:ext cx="2338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𝜇_𝑛𝑠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68</xdr:col>
      <xdr:colOff>212690</xdr:colOff>
      <xdr:row>0</xdr:row>
      <xdr:rowOff>160354</xdr:rowOff>
    </xdr:from>
    <xdr:ext cx="65" cy="172227"/>
    <xdr:sp macro="" textlink="">
      <xdr:nvSpPr>
        <xdr:cNvPr id="6" name="CuadroTexto 5">
          <a:extLst>
            <a:ext uri="{FF2B5EF4-FFF2-40B4-BE49-F238E27FC236}">
              <a16:creationId xmlns="" xmlns:a16="http://schemas.microsoft.com/office/drawing/2014/main" id="{EA1FE989-B0AA-478F-8AB4-177670EF4506}"/>
            </a:ext>
          </a:extLst>
        </xdr:cNvPr>
        <xdr:cNvSpPr txBox="1"/>
      </xdr:nvSpPr>
      <xdr:spPr>
        <a:xfrm>
          <a:off x="40751509" y="16035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3256" cy="6290930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1BFD47E-87D7-418F-B419-2725686A24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Qg@cf" TargetMode="External"/><Relationship Id="rId2" Type="http://schemas.openxmlformats.org/officeDocument/2006/relationships/hyperlink" Target="mailto:Qo@ce%20(propuesto)" TargetMode="External"/><Relationship Id="rId1" Type="http://schemas.openxmlformats.org/officeDocument/2006/relationships/hyperlink" Target="mailto:Qo@cf%20[ft3/s%5d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&#961;o@Cfluj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N125"/>
  <sheetViews>
    <sheetView tabSelected="1" zoomScale="70" zoomScaleNormal="70" workbookViewId="0">
      <pane xSplit="5" ySplit="1" topLeftCell="G41" activePane="bottomRight" state="frozen"/>
      <selection pane="topRight" activeCell="F1" sqref="F1"/>
      <selection pane="bottomLeft" activeCell="A2" sqref="A2"/>
      <selection pane="bottomRight" activeCell="M69" sqref="M69:N69"/>
    </sheetView>
  </sheetViews>
  <sheetFormatPr baseColWidth="10" defaultRowHeight="15" x14ac:dyDescent="0.25"/>
  <cols>
    <col min="1" max="1" width="10.85546875" customWidth="1"/>
    <col min="6" max="6" width="0" hidden="1" customWidth="1"/>
    <col min="7" max="7" width="14.85546875" bestFit="1" customWidth="1"/>
    <col min="8" max="8" width="21" bestFit="1" customWidth="1"/>
    <col min="9" max="9" width="15.85546875" bestFit="1" customWidth="1"/>
    <col min="10" max="10" width="21.140625" bestFit="1" customWidth="1"/>
    <col min="11" max="11" width="18.85546875" bestFit="1" customWidth="1"/>
    <col min="12" max="12" width="17.7109375" bestFit="1" customWidth="1"/>
    <col min="13" max="13" width="17.42578125" bestFit="1" customWidth="1"/>
    <col min="14" max="27" width="14.85546875" bestFit="1" customWidth="1"/>
    <col min="28" max="28" width="8.7109375" bestFit="1" customWidth="1"/>
    <col min="29" max="36" width="14.85546875" bestFit="1" customWidth="1"/>
    <col min="37" max="37" width="6.7109375" bestFit="1" customWidth="1"/>
    <col min="38" max="38" width="15.85546875" bestFit="1" customWidth="1"/>
    <col min="39" max="50" width="14.85546875" bestFit="1" customWidth="1"/>
    <col min="51" max="51" width="16.7109375" bestFit="1" customWidth="1"/>
    <col min="52" max="60" width="14.85546875" bestFit="1" customWidth="1"/>
    <col min="61" max="61" width="8.85546875" bestFit="1" customWidth="1"/>
    <col min="75" max="75" width="15.7109375" bestFit="1" customWidth="1"/>
  </cols>
  <sheetData>
    <row r="1" spans="1:196" x14ac:dyDescent="0.25">
      <c r="A1" s="12" t="s">
        <v>0</v>
      </c>
      <c r="B1" s="13"/>
      <c r="C1" s="1" t="s">
        <v>3</v>
      </c>
      <c r="E1" s="22"/>
      <c r="F1" s="1" t="s">
        <v>65</v>
      </c>
      <c r="G1" s="1" t="s">
        <v>26</v>
      </c>
      <c r="H1" s="1" t="s">
        <v>83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23</v>
      </c>
      <c r="N1" s="1" t="s">
        <v>24</v>
      </c>
      <c r="O1" s="3" t="s">
        <v>25</v>
      </c>
      <c r="P1" s="3" t="s">
        <v>31</v>
      </c>
      <c r="Q1" s="1" t="s">
        <v>32</v>
      </c>
      <c r="R1" s="1" t="s">
        <v>34</v>
      </c>
      <c r="S1" s="1" t="s">
        <v>33</v>
      </c>
      <c r="T1" s="1" t="s">
        <v>35</v>
      </c>
      <c r="U1" s="1" t="s">
        <v>36</v>
      </c>
      <c r="V1" s="3" t="s">
        <v>38</v>
      </c>
      <c r="W1" s="3" t="s">
        <v>66</v>
      </c>
      <c r="X1" s="3" t="s">
        <v>67</v>
      </c>
      <c r="Y1" s="3" t="s">
        <v>68</v>
      </c>
      <c r="Z1" s="1"/>
      <c r="AA1" s="1" t="s">
        <v>43</v>
      </c>
      <c r="AB1" s="1" t="s">
        <v>69</v>
      </c>
      <c r="AC1" s="5" t="s">
        <v>70</v>
      </c>
      <c r="AD1" s="1" t="s">
        <v>46</v>
      </c>
      <c r="AE1" s="15" t="s">
        <v>48</v>
      </c>
      <c r="AF1" s="14" t="s">
        <v>49</v>
      </c>
      <c r="AG1" s="1" t="s">
        <v>50</v>
      </c>
      <c r="AH1" s="1" t="s">
        <v>51</v>
      </c>
      <c r="AI1" s="1" t="s">
        <v>52</v>
      </c>
      <c r="AJ1" s="3" t="s">
        <v>53</v>
      </c>
      <c r="AK1" s="6" t="s">
        <v>54</v>
      </c>
      <c r="AL1" s="1" t="s">
        <v>55</v>
      </c>
      <c r="AM1" s="1" t="s">
        <v>56</v>
      </c>
      <c r="AN1" s="1" t="s">
        <v>57</v>
      </c>
      <c r="AO1" s="3" t="s">
        <v>59</v>
      </c>
      <c r="AP1" s="1" t="s">
        <v>58</v>
      </c>
      <c r="AQ1" s="1" t="s">
        <v>61</v>
      </c>
      <c r="AR1" s="1" t="s">
        <v>62</v>
      </c>
      <c r="AS1" s="1" t="s">
        <v>63</v>
      </c>
      <c r="AT1" s="1" t="s">
        <v>64</v>
      </c>
      <c r="AU1" s="1" t="s">
        <v>41</v>
      </c>
      <c r="AV1" s="1" t="s">
        <v>71</v>
      </c>
      <c r="AW1" s="1" t="s">
        <v>72</v>
      </c>
      <c r="AX1" s="1" t="s">
        <v>73</v>
      </c>
      <c r="AY1" s="1" t="s">
        <v>74</v>
      </c>
      <c r="AZ1" s="1" t="s">
        <v>75</v>
      </c>
      <c r="BA1" s="1" t="s">
        <v>76</v>
      </c>
      <c r="BB1" s="1" t="s">
        <v>78</v>
      </c>
      <c r="BC1" s="1" t="s">
        <v>87</v>
      </c>
      <c r="BD1" s="1" t="s">
        <v>84</v>
      </c>
      <c r="BE1" s="1" t="s">
        <v>79</v>
      </c>
      <c r="BF1" s="1" t="s">
        <v>80</v>
      </c>
      <c r="BG1" s="1" t="s">
        <v>81</v>
      </c>
      <c r="BH1" s="1" t="s">
        <v>82</v>
      </c>
      <c r="BI1" s="62">
        <f>(1*10^-3)</f>
        <v>1E-3</v>
      </c>
      <c r="BO1" t="s">
        <v>85</v>
      </c>
      <c r="BP1" s="1" t="s">
        <v>23</v>
      </c>
      <c r="BQ1">
        <f>B8*(((I2/18.2)+1.4)*10^((0.0125*B2)-(0.00091*(L2))))^(1/0.83)</f>
        <v>19.721268489136513</v>
      </c>
      <c r="BR1">
        <f>BQ2*((($I$2/18.2)+1.4)*10^((0.0125*$B$2)-(0.00091*($L$2))))^(1/0.83)</f>
        <v>19.957218574818558</v>
      </c>
      <c r="BS1">
        <f>BR2*((($I$2/18.2)+1.4)*10^((0.0125*$B$2)-(0.00091*($L$2))))^(1/0.83)</f>
        <v>19.956670823914976</v>
      </c>
      <c r="BT1" s="2">
        <f>BS2*((($I$2/18.2)+1.4)*10^((0.0125*$B$2)-(0.00091*($L$2))))^(1/0.83)</f>
        <v>19.956672095501933</v>
      </c>
      <c r="BU1" t="s">
        <v>86</v>
      </c>
      <c r="BV1">
        <f ca="1">N2*(((I3/18.2)+1.4)*10^((0.0125*B2)-(0.00091*(L2))))^(1/0.83)</f>
        <v>19.480277071352088</v>
      </c>
      <c r="BW1" s="1">
        <f ca="1">BV2*((($I$3/18.2)+1.4)*10^((0.0125*$B$2)-(0.00091*($L$2))))^(1/0.83)</f>
        <v>19.48135660749081</v>
      </c>
      <c r="BX1" s="1">
        <f ca="1">BW2*((($I$3/18.2)+1.4)*10^((0.0125*$B$2)-(0.00091*($L$2))))^(1/0.83)</f>
        <v>19.481354161205221</v>
      </c>
      <c r="BY1" s="17">
        <f ca="1">BX2*((($I$3/18.2)+1.4)*10^((0.0125*$B$2)-(0.00091*($L$2))))^(1/0.83)</f>
        <v>19.481354166748631</v>
      </c>
      <c r="BZ1" s="18" t="s">
        <v>88</v>
      </c>
      <c r="CA1">
        <f ca="1">N3*(((I4/18.2)+1.4)*10^((0.0125*$B$2)-(0.00091*(L4))))^(1/0.83)</f>
        <v>19.477568719826994</v>
      </c>
      <c r="CB1">
        <f ca="1">CB2*(((I4/18.2)+1.4)*10^((0.0125*$B$2)-(0.00091*(L4))))^(1/0.83)</f>
        <v>19.477577276794957</v>
      </c>
      <c r="CC1">
        <f ca="1">CB2*(((I4/18.2)+1.4)*10^((0.0125*$B$2)-(0.00091*($L$4))))^(1/0.83)</f>
        <v>19.477577276794957</v>
      </c>
      <c r="CD1">
        <f ca="1">CC2*((($I$4/18.2)+1.4)*10^((0.0125*$B$2)-(0.00091*($L$4))))^(1/0.83)</f>
        <v>19.477577276794957</v>
      </c>
      <c r="CE1" s="1">
        <v>4</v>
      </c>
      <c r="CF1">
        <f ca="1">N4*((($I$5/18.2)+1.4)*10^((0.0125*$B$2)-(0.00091*($L$5))))^(1/0.83)</f>
        <v>21.693314107255624</v>
      </c>
      <c r="CG1" s="1">
        <f ca="1">CF2*((($I$5/18.2)+1.4)*10^((0.0125*$B$2)-(0.00091*($L$5))))^(1/0.83)</f>
        <v>21.687723039952711</v>
      </c>
      <c r="CH1" s="1">
        <f ca="1">CG2*((($I$5/18.2)+1.4)*10^((0.0125*$B$2)-(0.00091*($L$5))))^(1/0.83)</f>
        <v>21.687737148141537</v>
      </c>
      <c r="CI1" s="1">
        <v>5</v>
      </c>
      <c r="CJ1" s="1">
        <f ca="1">N5*((($I$6/18.2)+1.4)*10^((0.0125*$B$2)-(0.00091*($L$6))))^(1/0.83)</f>
        <v>21.229557238850969</v>
      </c>
      <c r="CK1" s="1">
        <f ca="1">CJ2*((($I$6/18.2)+1.4)*10^((0.0125*$B$2)-(0.00091*($L$6))))^(1/0.83)</f>
        <v>21.230688959608791</v>
      </c>
      <c r="CL1" s="17">
        <f ca="1">CK2*((($I$6/18.2)+1.4)*10^((0.0125*$B$2)-(0.00091*($L$6))))^(1/0.83)</f>
        <v>21.230686164218056</v>
      </c>
      <c r="CM1" s="1">
        <f ca="1">CL2*((($I$7/18.2)+1.4)*10^((0.0125*$B$2)-(0.00091*($L$7))))^(1/0.83)</f>
        <v>21.225343079481085</v>
      </c>
      <c r="CN1" s="17">
        <f ca="1">CM2*((($I$7/18.2)+1.4)*10^((0.0125*$B$2)-(0.00091*($L$7))))^(1/0.83)</f>
        <v>21.225356273770004</v>
      </c>
      <c r="CO1" s="18">
        <f ca="1">CN2*((($I$8/18.2)+1.4)*10^((0.0125*$B$2)-(0.00091*($L$8))))^(1/0.83)</f>
        <v>23.471175455072164</v>
      </c>
      <c r="CP1" s="18">
        <f ca="1">CO2*((($I$8/18.2)+1.4)*10^((0.0125*$B$2)-(0.00091*($L$8))))^(1/0.83)</f>
        <v>23.465042799607186</v>
      </c>
      <c r="CQ1" s="17">
        <f ca="1">CP2*((($I$8/18.2)+1.4)*10^((0.0125*$B$2)-(0.00091*($L$8))))^(1/0.83)</f>
        <v>23.465059546041346</v>
      </c>
      <c r="CR1" s="18">
        <f ca="1">CQ2*((($I$9/18.2)+1.4)*10^((0.0125*$B$2)-(0.00091*($L$9))))^(1/0.83)</f>
        <v>23.024746138378582</v>
      </c>
      <c r="CS1" s="17">
        <f ca="1">CR2*((($I$9/18.2)+1.4)*10^((0.0125*$B$2)-(0.00091*($L$9))))^(1/0.83)</f>
        <v>23.025925939706234</v>
      </c>
      <c r="CT1" s="18">
        <f ca="1">CS2*((($I$10/18.2)+1.4)*10^((0.0125*$B$2)-(0.00091*($L$10))))^(1/0.83)</f>
        <v>23.02074546001262</v>
      </c>
      <c r="CU1" s="17">
        <f ca="1">CT2*((($I$10/18.2)+1.4)*10^((0.0125*$B$2)-(0.00091*($L$10))))^(1/0.83)</f>
        <v>23.020759337769825</v>
      </c>
      <c r="CV1" s="18">
        <f ca="1">CU2*((($I$11/18.2)+1.4)*10^((0.0125*$B$2)-(0.00091*($L$11))))^(1/0.83)</f>
        <v>25.295866171442039</v>
      </c>
      <c r="CW1" s="17">
        <f ca="1">CV2*((($I$12/18.2)+1.4)*10^((0.0125*$B$2)-(0.00091*($L$12))))^(1/0.83)</f>
        <v>24.867789611384904</v>
      </c>
      <c r="CX1" s="18">
        <f ca="1">CW2*((($I$11/18.2)+1.4)*10^((0.0125*$B$2)-(0.00091*($L$11))))^(1/0.83)</f>
        <v>25.290429247792442</v>
      </c>
      <c r="CY1" s="17">
        <f ca="1">CX2*((($I$11/18.2)+1.4)*10^((0.0125*$B$2)-(0.00091*($L$11))))^(1/0.83)</f>
        <v>25.289185164537681</v>
      </c>
      <c r="CZ1" s="18">
        <f ca="1">CY2*((($I$12/18.2)+1.4)*10^((0.0125*$B$2)-(0.00091*($L$12))))^(1/0.83)</f>
        <v>24.867808949928513</v>
      </c>
      <c r="DA1" s="17">
        <f ca="1">CZ2*((($I$12/18.2)+1.4)*10^((0.0125*$B$2)-(0.00091*($L$12))))^(1/0.83)</f>
        <v>24.869028646662453</v>
      </c>
      <c r="DB1" s="18">
        <f ca="1">DA2*((($I$14/18.2)+1.4)*10^((0.0125*$B$2)-(0.00091*($L$14))))^(1/0.83)</f>
        <v>27.167551239276868</v>
      </c>
      <c r="DC1" s="18">
        <f ca="1">DB2*((($I$14/18.2)+1.4)*10^((0.0125*$B$2)-(0.00091*($L$14))))^(1/0.83)</f>
        <v>27.160283114839174</v>
      </c>
      <c r="DD1" s="17">
        <f ca="1">DC2*((($I$14/18.2)+1.4)*10^((0.0125*$B$2)-(0.00091*($L$14))))^(1/0.83)</f>
        <v>27.160306097268414</v>
      </c>
      <c r="DE1" s="18">
        <f ca="1">DD2*((($I$15/18.2)+1.4)*10^((0.0125*$B$2)-(0.00091*($L$15))))^(1/0.83)</f>
        <v>26.758734539876304</v>
      </c>
      <c r="DF1" s="17">
        <f ca="1">DE2*((($I$15/18.2)+1.4)*10^((0.0125*$B$2)-(0.00091*($L$15))))^(1/0.83)</f>
        <v>26.759985569041419</v>
      </c>
      <c r="DG1" s="18">
        <f ca="1">DF2*((($I$16/18.2)+1.4)*10^((0.0125*$B$2)-(0.00091*($L$16))))^(1/0.83)</f>
        <v>26.755287972857541</v>
      </c>
      <c r="DH1" s="17">
        <f ca="1">DG2*((($I$16/18.2)+1.4)*10^((0.0125*$B$2)-(0.00091*($L$16))))^(1/0.83)</f>
        <v>26.755302604867524</v>
      </c>
      <c r="DI1" s="18">
        <f ca="1">DH2*((($I$17/18.2)+1.4)*10^((0.0125*$B$2)-(0.00091*($L$17))))^(1/0.83)</f>
        <v>29.086306333855958</v>
      </c>
      <c r="DJ1" s="17">
        <f ca="1">DI2*((($I$17/18.2)+1.4)*10^((0.0125*$B$2)-(0.00091*($L$17))))^(1/0.83)</f>
        <v>29.07841319063429</v>
      </c>
      <c r="DK1" s="18">
        <f ca="1">DJ2*((($I$17/18.2)+1.4)*10^((0.0125*$B$2)-(0.00091*($L$17))))^(1/0.83)</f>
        <v>29.078439918051814</v>
      </c>
      <c r="DL1" s="17">
        <f ca="1">DK2*((($I$17/18.2)+1.4)*10^((0.0125*$B$2)-(0.00091*($L$17))))^(1/0.83)</f>
        <v>29.078439827548603</v>
      </c>
      <c r="DM1" s="18">
        <f ca="1">DL2*((($I$18/18.2)+1.4)*10^((0.0125*$B$2)-(0.00091*($L$18))))^(1/0.83)</f>
        <v>28.697406329117541</v>
      </c>
      <c r="DN1" s="17">
        <f ca="1">DM2*((($I$18/18.2)+1.4)*10^((0.0125*$B$2)-(0.00091*($L$18))))^(1/0.83)</f>
        <v>28.698679661309438</v>
      </c>
      <c r="DO1" s="49">
        <f ca="1">DN2*((($I$19/18.2)+1.4)*10^((0.0125*$B$2)-(0.00091*($L$19))))^(1/0.83)</f>
        <v>28.694264551883155</v>
      </c>
      <c r="DP1" s="17">
        <f ca="1">DO2*((($I$19/18.2)+1.4)*10^((0.0125*$B$2)-(0.00091*($L$19))))^(1/0.83)</f>
        <v>28.694279303963818</v>
      </c>
      <c r="DQ1" s="18">
        <f ca="1">DP2*((($I$20/18.2)+1.4)*10^((0.0125*$B$2)-(0.00091*($L$20))))^(1/0.83)</f>
        <v>31.051694313913085</v>
      </c>
      <c r="DR1" s="17">
        <f ca="1">DQ2*((($I$20/18.2)+1.4)*10^((0.0125*$B$2)-(0.00091*($L$20))))^(1/0.83)</f>
        <v>31.043170423993484</v>
      </c>
      <c r="DS1" s="18">
        <f ca="1">DR2*((($I$21/18.2)+1.4)*10^((0.0125*$B$2)-(0.00091*($L$21))))^(1/0.83)</f>
        <v>30.683314242847302</v>
      </c>
      <c r="DT1" s="17">
        <f ca="1">DS2*((($I$21/18.2)+1.4)*10^((0.0125*$B$2)-(0.00091*($L$21))))^(1/0.83)</f>
        <v>30.684600318517774</v>
      </c>
      <c r="DU1" s="18">
        <f ca="1">DT2*((($I$22/18.2)+1.4)*10^((0.0125*$B$2)-(0.00091*($L$22))))^(1/0.83)</f>
        <v>30.680480702590671</v>
      </c>
      <c r="DV1" s="17">
        <f ca="1">DU2*((($I$22/18.2)+1.4)*10^((0.0125*$B$2)-(0.00091*($L$22))))^(1/0.83)</f>
        <v>30.680495423547473</v>
      </c>
      <c r="DW1" s="18">
        <f ca="1">DV2*((($I$23/18.2)+1.4)*10^((0.0125*$B$2)-(0.00091*($L$23))))^(1/0.83)</f>
        <v>33.0632182363154</v>
      </c>
      <c r="DX1" s="18">
        <f ca="1">DW2*((($I$23/18.2)+1.4)*10^((0.0125*$B$2)-(0.00091*($L$23))))^(1/0.83)</f>
        <v>33.054042612733603</v>
      </c>
      <c r="DY1" s="18">
        <f ca="1">DX2*((($I$23/18.2)+1.4)*10^((0.0125*$B$2)-(0.00091*($L$23))))^(1/0.83)</f>
        <v>33.054077947128206</v>
      </c>
      <c r="DZ1" s="18">
        <f ca="1">DY2*((($I$24/18.2)+1.4)*10^((0.0125*$B$2)-(0.00091*($L$24))))^(1/0.83)</f>
        <v>32.716032634657054</v>
      </c>
      <c r="EA1" s="17">
        <f ca="1">DZ2*((($I$24/18.2)+1.4)*10^((0.0125*$B$2)-(0.00091*($L$24))))^(1/0.83)</f>
        <v>32.717321099496665</v>
      </c>
      <c r="EB1" s="18">
        <f ca="1">DZ2*((($I$25/18.2)+1.4)*10^((0.0125*$B$2)-(0.00091*($L$25))))^(1/0.83)</f>
        <v>32.713325097122826</v>
      </c>
      <c r="EC1" s="18">
        <f ca="1">EA2*((($I$25/18.2)+1.4)*10^((0.0125*$B$2)-(0.00091*($L$25))))^(1/0.83)</f>
        <v>32.713320186719351</v>
      </c>
      <c r="ED1" s="18">
        <f ca="1">EB2*((($I$26/18.2)+1.4)*10^((0.0125*$B$2)-(0.00091*($L$26))))^(1/0.83)</f>
        <v>35.120453364053816</v>
      </c>
      <c r="EE1" s="17">
        <f ca="1">EC2*((($I$26/18.2)+1.4)*10^((0.0125*$B$2)-(0.00091*($L$26))))^(1/0.83)</f>
        <v>35.120453384144611</v>
      </c>
      <c r="EF1" s="18">
        <f ca="1">ED2*((($I$27/18.2)+1.4)*10^((0.0125*$B$2)-(0.00091*($L$27))))^(1/0.83)</f>
        <v>34.794479317038309</v>
      </c>
      <c r="EG1" s="17">
        <f ca="1">EE2*((($I$27/18.2)+1.4)*10^((0.0125*$B$2)-(0.00091*($L$27))))^(1/0.83)</f>
        <v>34.794479316956853</v>
      </c>
      <c r="EH1" s="18">
        <f ca="1">EF2*((($I$28/18.2)+1.4)*10^((0.0125*$B$2)-(0.00091*($L$28))))^(1/0.83)</f>
        <v>34.792271788797237</v>
      </c>
      <c r="EI1" s="17">
        <f ca="1">EH2*((($I$28/18.2)+1.4)*10^((0.0125*$B$2)-(0.00091*($L$28))))^(1/0.83)</f>
        <v>34.792280738613997</v>
      </c>
      <c r="EJ1" s="18">
        <f ca="1">EI2*((($I$29/18.2)+1.4)*10^((0.0125*$B$2)-(0.00091*($L$29))))^(1/0.83)</f>
        <v>37.222790953610698</v>
      </c>
      <c r="EK1" s="18">
        <f ca="1">EJ2*((($I$29/18.2)+1.4)*10^((0.0125*$B$2)-(0.00091*($L$29))))^(1/0.83)</f>
        <v>37.212248750945591</v>
      </c>
      <c r="EL1" s="17">
        <f ca="1">EK2*((($I$29/18.2)+1.4)*10^((0.0125*$B$2)-(0.00091*($L$29))))^(1/0.83)</f>
        <v>37.212294477162395</v>
      </c>
      <c r="EM1" s="18">
        <f ca="1">EL2*((($I$30/18.2)+1.4)*10^((0.0125*$B$2)-(0.00091*($L$30))))^(1/0.83)</f>
        <v>36.918599784082019</v>
      </c>
      <c r="EN1" s="18">
        <f ca="1">EM2*((($I$30/18.2)+1.4)*10^((0.0125*$B$2)-(0.00091*($L$30))))^(1/0.83)</f>
        <v>36.919863614441603</v>
      </c>
      <c r="EO1" s="17">
        <f ca="1">EN2*((($I$30/18.2)+1.4)*10^((0.0125*$B$2)-(0.00091*($L$30))))^(1/0.83)</f>
        <v>36.919858175912353</v>
      </c>
      <c r="EP1" s="18">
        <f ca="1">EO2*((($I$31/18.2)+1.4)*10^((0.0125*$B$2)-(0.00091*($L$31))))^(1/0.83)</f>
        <v>36.916650545592972</v>
      </c>
      <c r="EQ1" s="18">
        <f ca="1">EP2*((($I$31/18.2)+1.4)*10^((0.0125*$B$2)-(0.00091*($L$31))))^(1/0.83)</f>
        <v>36.916664347505183</v>
      </c>
      <c r="ER1" s="17">
        <f ca="1">EQ2*((($I$31/18.2)+1.4)*10^((0.0125*$B$2)-(0.00091*($L$31))))^(1/0.83)</f>
        <v>36.916664288117794</v>
      </c>
      <c r="ES1" s="18">
        <f ca="1">ER2*((($I$32/18.2)+1.4)*10^((0.0125*$B$2)-(0.00091*($L$32))))^(1/0.83)</f>
        <v>39.369558654190158</v>
      </c>
      <c r="ET1" s="18">
        <f t="shared" ref="ET1:EU1" ca="1" si="0">ES2*((($I$31/18.2)+1.4)*10^((0.0125*$B$2)-(0.00091*($L$31))))^(1/0.83)</f>
        <v>36.906109882368384</v>
      </c>
      <c r="EU1" s="17">
        <f t="shared" ca="1" si="0"/>
        <v>36.9167097022668</v>
      </c>
      <c r="EV1" s="18">
        <f ca="1">EU2*((($I$32/18.2)+1.4)*10^((0.0125*$B$2)-(0.00091*($L$32))))^(1/0.83)</f>
        <v>39.369558445796635</v>
      </c>
      <c r="EW1" s="18">
        <f ca="1">EV2*((($I$32/18.2)+1.4)*10^((0.0125*$B$2)-(0.00091*($L$32))))^(1/0.83)</f>
        <v>39.358302971181423</v>
      </c>
      <c r="EX1" s="17">
        <f ca="1">EW2*((($I$32/18.2)+1.4)*10^((0.0125*$B$2)-(0.00091*($L$32))))^(1/0.83)</f>
        <v>39.358354619579693</v>
      </c>
      <c r="EY1" s="18">
        <f ca="1">EX2*((($I$33/18.2)+1.4)*10^((0.0125*$B$2)-(0.00091*($L$33))))^(1/0.83)</f>
        <v>39.082760569246723</v>
      </c>
      <c r="EZ1" s="17">
        <f ca="1">EY2*((($I$33/18.2)+1.4)*10^((0.0125*$B$2)-(0.00091*($L$33))))^(1/0.83)</f>
        <v>39.084016342366688</v>
      </c>
      <c r="FA1" s="18">
        <f ca="1">EZ2*((($I$34/18.2)+1.4)*10^((0.0125*$B$2)-(0.00091*($L$34))))^(1/0.83)</f>
        <v>41.561056472205578</v>
      </c>
      <c r="FB1" s="17">
        <f ca="1">FA2*((($I$34/18.2)+1.4)*10^((0.0125*$B$2)-(0.00091*($L$34))))^(1/0.83)</f>
        <v>41.549054245003383</v>
      </c>
      <c r="FC1" s="18">
        <f ca="1">FB2*((($I$35/18.2)+1.4)*10^((0.0125*$B$2)-(0.00091*($L$35))))^(1/0.83)</f>
        <v>41.296345539299999</v>
      </c>
      <c r="FD1" s="17">
        <f ca="1">FC2*((($I$35/18.2)+1.4)*10^((0.0125*$B$2)-(0.00091*($L$35))))^(1/0.83)</f>
        <v>41.297562562550276</v>
      </c>
      <c r="FE1" s="18">
        <f ca="1">FD2*((($I$36/18.2)+1.4)*10^((0.0125*$B$2)-(0.00091*($L$36))))^(1/0.83)</f>
        <v>41.300222638117447</v>
      </c>
      <c r="FF1" s="17">
        <f ca="1">FE2*((($I$36/18.2)+1.4)*10^((0.0125*$B$2)-(0.00091*($L$36))))^(1/0.83)</f>
        <v>41.300209826596806</v>
      </c>
      <c r="FG1" s="18">
        <f ca="1">FF2*((($I$37/18.2)+1.4)*10^((0.0125*$B$2)-(0.00091*($L$37))))^(1/0.83)</f>
        <v>43.794495095443708</v>
      </c>
      <c r="FH1" s="17">
        <f t="shared" ref="FH1" ca="1" si="1">FG2*((($I$37/18.2)+1.4)*10^((0.0125*$B$2)-(0.00091*($L$37))))^(1/0.83)</f>
        <v>43.781756542594145</v>
      </c>
      <c r="FI1" s="18">
        <f ca="1">FH2*((($I$38/18.2)+1.4)*10^((0.0125*$B$2)-(0.00091*($L$38))))^(1/0.83)</f>
        <v>43.55710847820675</v>
      </c>
      <c r="FJ1" s="17">
        <f t="shared" ref="FJ1" ca="1" si="2">FI2*((($I$38/18.2)+1.4)*10^((0.0125*$B$2)-(0.00091*($L$38))))^(1/0.83)</f>
        <v>43.558249888716212</v>
      </c>
      <c r="FK1" s="18">
        <f ca="1">FJ2*((($I$39/18.2)+1.4)*10^((0.0125*$B$2)-(0.00091*($L$39))))^(1/0.83)</f>
        <v>46.070129255309396</v>
      </c>
      <c r="FL1" s="18">
        <f t="shared" ref="FL1:FM1" ca="1" si="3">FK2*((($I$39/18.2)+1.4)*10^((0.0125*$B$2)-(0.00091*($L$39))))^(1/0.83)</f>
        <v>46.056630708062528</v>
      </c>
      <c r="FM1" s="17">
        <f t="shared" ca="1" si="3"/>
        <v>46.056703247683743</v>
      </c>
      <c r="FN1" s="18">
        <f ca="1">FM2*((($I$40/18.2)+1.4)*10^((0.0125*$B$2)-(0.00091*($L$40))))^(1/0.83)</f>
        <v>45.855374624854264</v>
      </c>
      <c r="FO1" s="17">
        <f ca="1">FN2*((($I$40/18.2)+1.4)*10^((0.0125*$B$2)-(0.00091*($L$40))))^(1/0.83)</f>
        <v>45.856451812036497</v>
      </c>
      <c r="FP1" s="18">
        <f ca="1">FO2*((($I$41/18.2)+1.4)*10^((0.0125*$B$2)-(0.00091*($L$41))))^(1/0.83)</f>
        <v>48.387101086055111</v>
      </c>
      <c r="FQ1" s="18">
        <f ca="1">FP2*((($I$41/18.2)+1.4)*10^((0.0125*$B$2)-(0.00091*($L$41))))^(1/0.83)</f>
        <v>48.372813895905303</v>
      </c>
      <c r="FR1" s="17">
        <f ca="1">FQ2*((($I$41/18.2)+1.4)*10^((0.0125*$B$2)-(0.00091*($L$41))))^(1/0.83)</f>
        <v>48.372894556550179</v>
      </c>
      <c r="FS1" s="18">
        <f ca="1">FR2*((($I$42/18.2)+1.4)*10^((0.0125*$B$2)-(0.00091*($L$42))))^(1/0.83)</f>
        <v>48.195086026472474</v>
      </c>
      <c r="FT1" s="17">
        <f t="shared" ref="FT1" ca="1" si="4">FS2*((($I$42/18.2)+1.4)*10^((0.0125*$B$2)-(0.00091*($L$42))))^(1/0.83)</f>
        <v>48.196086183394236</v>
      </c>
      <c r="FU1" s="18">
        <f ca="1">FT2*((($I$43/18.2)+1.4)*10^((0.0125*$B$2)-(0.00091*($L$43))))^(1/0.83)</f>
        <v>50.744561291609465</v>
      </c>
      <c r="FV1" s="18">
        <f t="shared" ref="FV1" ca="1" si="5">FU2*((($I$43/18.2)+1.4)*10^((0.0125*$B$2)-(0.00091*($L$43))))^(1/0.83)</f>
        <v>50.729468355631589</v>
      </c>
      <c r="FW1" s="17">
        <f ca="1">FV2*((($I$43/18.2)+1.4)*10^((0.0125*$B$2)-(0.00091*($L$43))))^(1/0.83)</f>
        <v>50.729557741129497</v>
      </c>
      <c r="FX1" s="18">
        <f ca="1">FW2*((($I$44/18.2)+1.4)*10^((0.0125*$B$2)-(0.00091*($L$44))))^(1/0.83)</f>
        <v>50.575373775376654</v>
      </c>
      <c r="FY1" s="17">
        <f t="shared" ref="FY1" ca="1" si="6">FX2*((($I$44/18.2)+1.4)*10^((0.0125*$B$2)-(0.00091*($L$44))))^(1/0.83)</f>
        <v>50.576284129943403</v>
      </c>
      <c r="FZ1" s="18">
        <f ca="1">FY2*((($I$45/18.2)+1.4)*10^((0.0125*$B$2)-(0.00091*($L$45))))^(1/0.83)</f>
        <v>53.141655637915001</v>
      </c>
      <c r="GA1" s="18">
        <f t="shared" ref="GA1:GB1" ca="1" si="7">FZ2*((($I$45/18.2)+1.4)*10^((0.0125*$B$2)-(0.00091*($L$45))))^(1/0.83)</f>
        <v>53.125740520797819</v>
      </c>
      <c r="GB1" s="18">
        <f t="shared" ca="1" si="7"/>
        <v>53.125839255406845</v>
      </c>
      <c r="GC1" s="18">
        <f ca="1">GB2*((($I$46/18.2)+1.4)*10^((0.0125*$B$2)-(0.00091*($L$46))))^(1/0.83)</f>
        <v>52.995356456778978</v>
      </c>
      <c r="GD1" s="18">
        <f t="shared" ref="GD1:GE1" ca="1" si="8">GC2*((($I$46/18.2)+1.4)*10^((0.0125*$B$2)-(0.00091*($L$46))))^(1/0.83)</f>
        <v>52.996163961097594</v>
      </c>
      <c r="GE1" s="18">
        <f t="shared" ca="1" si="8"/>
        <v>52.996158963785831</v>
      </c>
      <c r="GF1" s="18">
        <f ca="1">GE2*((($I$47/18.2)+1.4)*10^((0.0125*$B$2)-(0.00091*($L$47))))^(1/0.83)</f>
        <v>55.57751739196145</v>
      </c>
      <c r="GG1" s="18">
        <f t="shared" ref="GG1:GH1" ca="1" si="9">GF2*((($I$47/18.2)+1.4)*10^((0.0125*$B$2)-(0.00091*($L$47))))^(1/0.83)</f>
        <v>55.560764312392379</v>
      </c>
      <c r="GH1" s="17">
        <f t="shared" ca="1" si="9"/>
        <v>55.560873040290055</v>
      </c>
      <c r="GI1" s="18">
        <f ca="1">GH2*((($I$48/18.2)+1.4)*10^((0.0125*$B$2)-(0.00091*($L$48))))^(1/0.83)</f>
        <v>55.454142747273444</v>
      </c>
      <c r="GJ1" s="18">
        <f t="shared" ref="GJ1:GK1" ca="1" si="10">GI2*((($I$48/18.2)+1.4)*10^((0.0125*$B$2)-(0.00091*($L$48))))^(1/0.83)</f>
        <v>55.454834098888227</v>
      </c>
      <c r="GK1" s="17">
        <f t="shared" ca="1" si="10"/>
        <v>55.454829620618362</v>
      </c>
      <c r="GL1" s="18">
        <f ca="1">GK2*((($I$49/18.2)+1.4)*10^((0.0125*$B$2)-(0.00091*($L$49))))^(1/0.83)</f>
        <v>58.051269924916795</v>
      </c>
      <c r="GM1" s="18">
        <f t="shared" ref="GM1:GN1" ca="1" si="11">GL2*((($I$49/18.2)+1.4)*10^((0.0125*$B$2)-(0.00091*($L$49))))^(1/0.83)</f>
        <v>58.033663873287395</v>
      </c>
      <c r="GN1" s="17">
        <f t="shared" ca="1" si="11"/>
        <v>58.033783257142844</v>
      </c>
    </row>
    <row r="2" spans="1:196" ht="30" x14ac:dyDescent="0.25">
      <c r="A2" s="7" t="s">
        <v>1</v>
      </c>
      <c r="B2" s="8">
        <v>23</v>
      </c>
      <c r="D2" s="21" t="s">
        <v>91</v>
      </c>
      <c r="E2" s="4">
        <v>1</v>
      </c>
      <c r="F2" s="26">
        <f>18.2*((($B$16/$B$8)^0.83)*10^((0.00091*L2)-(0.0125*$B$2))-1.4)</f>
        <v>1621.6377097055451</v>
      </c>
      <c r="G2" s="26">
        <f>B3</f>
        <v>135</v>
      </c>
      <c r="H2" s="26">
        <f>G2+20</f>
        <v>155</v>
      </c>
      <c r="I2" s="26">
        <f t="shared" ref="I2:I23" si="12">(G2+H2)/2</f>
        <v>145</v>
      </c>
      <c r="J2" s="26">
        <f>B10</f>
        <v>60</v>
      </c>
      <c r="K2" s="26">
        <f>(100+2400)/40</f>
        <v>62.5</v>
      </c>
      <c r="L2" s="26">
        <f t="shared" ref="L2:L11" si="13">(J2+K2)/2</f>
        <v>61.25</v>
      </c>
      <c r="M2" s="26">
        <f>BT2*((($I$2/18.2)+1.4)*10^((0.0125*$B$2)-(0.00091*($L$2))))^(1/0.83)</f>
        <v>19.956672092549983</v>
      </c>
      <c r="N2" s="26">
        <f>0.25+(0.02*$B$2)+((M2*10^-6)*(0.0874-(3.5864*$B$2)))</f>
        <v>0.70835557421090822</v>
      </c>
      <c r="O2" s="26">
        <f t="shared" ref="O2:O21" si="14">(ABS(($B$16*$B$8)-(M2*N2)))/($B$16-M2)</f>
        <v>0.6994113062822459</v>
      </c>
      <c r="P2" s="26">
        <f t="shared" ref="P2:P29" si="15">677+(15*O2)-(37.5*O2^2)</f>
        <v>669.14706301840476</v>
      </c>
      <c r="Q2" s="26">
        <f t="shared" ref="Q2:Q21" si="16">168+(325*O2)-(12.5*O2^2)</f>
        <v>389.19397234978697</v>
      </c>
      <c r="R2" s="26">
        <f t="shared" ref="R2:R21" si="17">I2/P2</f>
        <v>0.21669377034389195</v>
      </c>
      <c r="S2" s="26">
        <f t="shared" ref="S2:S21" si="18">(L2+460)/Q2</f>
        <v>1.3393064565026922</v>
      </c>
      <c r="T2" s="26">
        <f t="shared" ref="T2:T21" si="19">1-((3.25*R2)/(10^(0.9813*S2)))+((0.274*R2^2)/(10^(0.8157*S2)))</f>
        <v>0.96688374437868863</v>
      </c>
      <c r="U2" s="26">
        <f>(T2*(L2+460)/I2)*(B17/(520))</f>
        <v>9.8257637013708946E-2</v>
      </c>
      <c r="V2" s="26">
        <f t="shared" ref="V2:V21" si="20">(O2*$B$18)/U2</f>
        <v>0.54382565492093315</v>
      </c>
      <c r="W2" s="26">
        <f t="shared" ref="W2:W21" si="21">3.5+(986/(L2+460))+(0.2896*O2)</f>
        <v>5.5941562289276359</v>
      </c>
      <c r="X2" s="26">
        <f t="shared" ref="X2:X29" si="22">2.4-(0.2*W2)</f>
        <v>1.2811687542144727</v>
      </c>
      <c r="Y2" s="26">
        <f t="shared" ref="Y2:Y21" si="23">((9.4+(0.5792*O2))*(L2+460)^1.5)/((209+(550.24*O2)+(L2+460)))</f>
        <v>104.64285429235522</v>
      </c>
      <c r="Z2" s="27">
        <f t="shared" ref="Z2:Z21" si="24">Y2*((10^(-4))*EXP(W2*(O2/62.928)^X2))</f>
        <v>1.0649516389821902E-2</v>
      </c>
      <c r="AA2" s="26">
        <f t="shared" ref="AA2:AA21" si="25">0.9759+0.00012*(BT1*((BT2/$B$19)^0.5)+(1.25*L2))^1.2</f>
        <v>1.0039261275168616</v>
      </c>
      <c r="AB2" s="26">
        <v>24</v>
      </c>
      <c r="AC2" s="28">
        <f t="shared" ref="AC2:AC21" si="26">(($B$19*$B$22)+(N2*$B$18*M2))/AA2</f>
        <v>58.001814524919119</v>
      </c>
      <c r="AD2" s="26">
        <f t="shared" ref="AD2:AD65" si="27">(3.141592654*($B$5/12)^2)/4</f>
        <v>0.16498815587413193</v>
      </c>
      <c r="AE2" s="26">
        <f t="shared" ref="AE2:AE21" si="28">$B$21*AA2*(5.615/1)*(1/86400)</f>
        <v>0.32621789386615613</v>
      </c>
      <c r="AF2" s="26">
        <f t="shared" ref="AF2:AF21" si="29">$B$21*($B$16-M2)*U2*(1/86400)</f>
        <v>1.6106367289615338</v>
      </c>
      <c r="AG2" s="26">
        <f t="shared" ref="AG2:AG21" si="30">AE2/AD2</f>
        <v>1.9772200746035673</v>
      </c>
      <c r="AH2" s="26">
        <f t="shared" ref="AH2:AH21" si="31">AF2/AD2</f>
        <v>9.7621354722594447</v>
      </c>
      <c r="AI2" s="26">
        <f t="shared" ref="AI2:AI21" si="32">AG2+AH2</f>
        <v>11.739355546863012</v>
      </c>
      <c r="AJ2" s="26">
        <f t="shared" ref="AJ2:AJ21" si="33">AE2/(AE2+AF2)</f>
        <v>0.16842662842185741</v>
      </c>
      <c r="AK2" s="29"/>
      <c r="AL2" s="26">
        <f t="shared" ref="AL2:AL21" si="34">1.071-((0.2218*((AG2+AH2)^2))/($B$5*0.0833333))</f>
        <v>-65.620238780843451</v>
      </c>
      <c r="AM2" s="26">
        <f t="shared" ref="AM2:AM21" si="35">AH2/(AG2+AH2)</f>
        <v>0.83157337157814259</v>
      </c>
      <c r="AN2" s="26">
        <f t="shared" ref="AN2:AN21" si="36">AM2-AL2</f>
        <v>66.451812152421596</v>
      </c>
      <c r="AO2" s="26">
        <f t="shared" ref="AO2:AO21" si="37">(42.4-(0.047*J2)-(0.267*$B$2))*EXP(-0.0007*I2)</f>
        <v>30.211507156024517</v>
      </c>
      <c r="AP2" s="26">
        <f t="shared" ref="AP2:AP21" si="38">1.938*AG2*(AC2/AO2)^0.25</f>
        <v>4.5105144772678996</v>
      </c>
      <c r="AQ2" s="26">
        <f t="shared" ref="AQ2:AQ21" si="39">1.938*AH2*(AC2/AO2)^0.25</f>
        <v>22.269778636303393</v>
      </c>
      <c r="AR2" s="26">
        <f t="shared" ref="AR2:AR21" si="40">((120.872*$B$5)/12)*((AC2/AO2)^0.25)</f>
        <v>65.211538867175946</v>
      </c>
      <c r="AS2" s="26">
        <f t="shared" ref="AS2:AS21" si="41">0.15726*AB2*(1/(AC2*AO2^3)^0.25)</f>
        <v>0.10613040571431315</v>
      </c>
      <c r="AT2" s="26">
        <f t="shared" ref="AT2:AT29" si="42">0.0104*(1.163-EXP(-6.407*AS2))</f>
        <v>6.8262647792771093E-3</v>
      </c>
      <c r="AU2" s="26">
        <f t="shared" ref="AU2:AU21" si="43">(AP2*AT2*I2^0.1)/((AQ2^0.575)*AR2*$B$17^0.1)</f>
        <v>9.9667413122214328E-5</v>
      </c>
      <c r="AV2" s="26">
        <f t="shared" ref="AV2:AV29" si="44">(0.0745*0.000841+1.0728*(AU2^0.884))/(0.000841+AU2^0.884)</f>
        <v>0.33061595528629595</v>
      </c>
      <c r="AW2" s="26">
        <f t="shared" ref="AW2:AW21" si="45">(AQ2*AS2^0.1)/(AR2^2.14)</f>
        <v>2.3315544490954275E-3</v>
      </c>
      <c r="AX2" s="26">
        <f t="shared" ref="AX2:AX29" si="46">(0.97471888*0.0102865321+1.7467011*(AW2^3.8462632))/(0.0102865321+AW2^3.8462632)</f>
        <v>0.97471888563132125</v>
      </c>
      <c r="AY2" s="26">
        <f t="shared" ref="AY2:AY21" si="47">AV2*AX2</f>
        <v>0.32225761550859311</v>
      </c>
      <c r="AZ2" s="26">
        <f t="shared" ref="AZ2:AZ21" si="48">(V2*(1-AY2))+(AC2*AY2)</f>
        <v>19.060100140085829</v>
      </c>
      <c r="BA2" s="26">
        <f t="shared" ref="BA2:BA21" si="49">(Z2*(1-AJ2))+(AB2*AJ2)</f>
        <v>4.0510949363745388</v>
      </c>
      <c r="BB2" s="26">
        <f t="shared" ref="BB2:BB21" si="50">(1488*AZ2*AI2*($B$5/12))/BA2</f>
        <v>37668.765543027315</v>
      </c>
      <c r="BC2" s="26">
        <f t="shared" ref="BC2:BC21" ca="1" si="51">BD2</f>
        <v>2.2613723280772973E-2</v>
      </c>
      <c r="BD2" s="26">
        <f t="shared" ref="BD2:BD38" ca="1" si="52">(-2*LOG(($B$7/(3.71*$B$5))+(2.514/(BB2*SQRT(BC2)))))^(-2)</f>
        <v>2.2613723280772973E-2</v>
      </c>
      <c r="BE2" s="26">
        <f ca="1">((BU3*AZ2*(AI2^2))/(144*2*32.2*($B$5/12)))+((AZ2*SIN(90))/144)</f>
        <v>0.13230614678826066</v>
      </c>
      <c r="BF2" s="26">
        <f t="shared" ref="BF2:BF29" ca="1" si="53">BE2*100</f>
        <v>13.230614678826067</v>
      </c>
      <c r="BG2" s="26">
        <f t="shared" ref="BG2:BG21" ca="1" si="54">G2+BF2</f>
        <v>148.23061467882607</v>
      </c>
      <c r="BH2" s="26">
        <f ca="1">(H2-BG2)/H2</f>
        <v>4.3673453684993084E-2</v>
      </c>
      <c r="BI2" t="str">
        <f ca="1">IF(BH2&lt;$BI$1,"Listo","Repetir")</f>
        <v>Repetir</v>
      </c>
      <c r="BP2" s="1" t="s">
        <v>24</v>
      </c>
      <c r="BQ2">
        <f>0.25+(0.02*B2)+((BQ1*10^-6)*(0.0874-(3.5864*B2)))</f>
        <v>0.70837497142074879</v>
      </c>
      <c r="BR2">
        <f>0.25+(0.02*$B$2)+((BR1*10^-6)*(0.0874-(3.5864*$B$2)))</f>
        <v>0.70835552918087863</v>
      </c>
      <c r="BS2">
        <f>0.25+(0.02*$B$2)+((BS1*10^-6)*(0.0874-(3.5864*$B$2)))</f>
        <v>0.70835557431544349</v>
      </c>
      <c r="BT2" s="2">
        <f>0.25+(0.02*$B$2)+((BT1*10^-6)*(0.0874-(3.5864*$B$2)))</f>
        <v>0.70835557421066497</v>
      </c>
      <c r="BV2">
        <f ca="1">0.25+(0.02*$B$2)+((BV1*10^-6)*(0.0874-(3.5864*$B$2)))</f>
        <v>0.70839482906537599</v>
      </c>
      <c r="BW2">
        <f ca="1">0.25+(0.02*$B$2)+((BW1*10^-6)*(0.0874-(3.5864*$B$2)))</f>
        <v>0.70839474011181403</v>
      </c>
      <c r="BX2">
        <f ca="1">0.25+(0.02*$B$2)+((BX1*10^-6)*(0.0874-(3.5864*$B$2)))</f>
        <v>0.70839474031338745</v>
      </c>
      <c r="BY2" s="2">
        <f ca="1">0.25+(0.02*$B$2)+((BY1*10^-6)*(0.0874-(3.5864*$B$2)))</f>
        <v>0.7083947403129307</v>
      </c>
      <c r="BZ2" s="18"/>
      <c r="CA2">
        <f ca="1">0.25+(0.02*$B$2)+((CA1*10^-6)*(0.0874-(3.5864*$B$2)))</f>
        <v>0.70839505223299992</v>
      </c>
      <c r="CB2">
        <f ca="1">0.25+(0.02*$B$2)+((CB1*10^-6)*(0.0874-(3.5864*$B$2)))</f>
        <v>0.70839505152790749</v>
      </c>
      <c r="CC2">
        <f ca="1">0.25+(0.02*$B$2)+((CC1*10^-6)*(0.0874-(3.5864*$B$2)))</f>
        <v>0.70839505152790749</v>
      </c>
      <c r="CD2" s="2">
        <f ca="1">0.25+(0.02*$B$2)+((CD1*10^-6)*(0.0874-(3.5864*$B$2)))</f>
        <v>0.70839505152790749</v>
      </c>
      <c r="CF2" s="2">
        <f ca="1">0.25+(0.02*$B$2)+((CF1*10^-6)*(0.0874-(3.5864*$B$2)))</f>
        <v>0.70821247525622488</v>
      </c>
      <c r="CG2" s="2">
        <f ca="1">0.25+(0.02*$B$2)+((CG1*10^-6)*(0.0874-(3.5864*$B$2)))</f>
        <v>0.70821293595905244</v>
      </c>
      <c r="CH2" s="2">
        <f ca="1">0.25+(0.02*$B$2)+((CH1*10^-6)*(0.0874-(3.5864*$B$2)))</f>
        <v>0.70821293479654057</v>
      </c>
      <c r="CJ2" s="19">
        <f t="shared" ref="CJ2:DS2" ca="1" si="55">0.25+(0.02*$B$2)+((CJ1*10^-6)*(0.0874-(3.5864*$B$2)))</f>
        <v>0.70825068872943009</v>
      </c>
      <c r="CK2" s="19">
        <f t="shared" ca="1" si="55"/>
        <v>0.708250595475866</v>
      </c>
      <c r="CL2" s="2">
        <f t="shared" ca="1" si="55"/>
        <v>0.70825059570620563</v>
      </c>
      <c r="CM2">
        <f t="shared" ca="1" si="55"/>
        <v>0.70825103597531935</v>
      </c>
      <c r="CN2" s="2">
        <f t="shared" ca="1" si="55"/>
        <v>0.70825103488811259</v>
      </c>
      <c r="CO2" s="19">
        <f t="shared" ca="1" si="55"/>
        <v>0.70806597983673714</v>
      </c>
      <c r="CP2" s="19">
        <f t="shared" ca="1" si="55"/>
        <v>0.70806648516632087</v>
      </c>
      <c r="CQ2" s="2">
        <f t="shared" ca="1" si="55"/>
        <v>0.70806648378641812</v>
      </c>
      <c r="CR2" s="19">
        <f t="shared" ca="1" si="55"/>
        <v>0.70810276552314677</v>
      </c>
      <c r="CS2" s="2">
        <f t="shared" ca="1" si="55"/>
        <v>0.70810266830775337</v>
      </c>
      <c r="CT2" s="19">
        <f t="shared" ca="1" si="55"/>
        <v>0.70810309517824399</v>
      </c>
      <c r="CU2" s="2">
        <f t="shared" ca="1" si="55"/>
        <v>0.7081030940347196</v>
      </c>
      <c r="CV2" s="19">
        <f t="shared" ca="1" si="55"/>
        <v>0.70791562568664634</v>
      </c>
      <c r="CW2" s="2">
        <f t="shared" ca="1" si="55"/>
        <v>0.70795089910957976</v>
      </c>
      <c r="CX2" s="19">
        <f t="shared" ca="1" si="55"/>
        <v>0.70791607368806775</v>
      </c>
      <c r="CY2" s="2">
        <f t="shared" ca="1" si="55"/>
        <v>0.70791617620027913</v>
      </c>
      <c r="CZ2" s="19">
        <f t="shared" ca="1" si="55"/>
        <v>0.70795089751608764</v>
      </c>
      <c r="DA2" s="2">
        <f t="shared" ca="1" si="55"/>
        <v>0.70795079701332075</v>
      </c>
      <c r="DB2" s="19">
        <f t="shared" ca="1" si="55"/>
        <v>0.7077613992113938</v>
      </c>
      <c r="DC2" s="19">
        <f t="shared" ca="1" si="55"/>
        <v>0.7077619981033938</v>
      </c>
      <c r="DD2" s="41">
        <f t="shared" ca="1" si="55"/>
        <v>0.7077619962096463</v>
      </c>
      <c r="DE2" s="24">
        <f t="shared" ca="1" si="55"/>
        <v>0.70779508562566107</v>
      </c>
      <c r="DF2" s="41">
        <f t="shared" ca="1" si="55"/>
        <v>0.70779498254110806</v>
      </c>
      <c r="DG2" s="24">
        <f t="shared" ca="1" si="55"/>
        <v>0.70779536962209411</v>
      </c>
      <c r="DH2" s="41">
        <f t="shared" ca="1" si="55"/>
        <v>0.70779536841641943</v>
      </c>
      <c r="DI2" s="24">
        <f t="shared" ca="1" si="55"/>
        <v>0.7076032941753515</v>
      </c>
      <c r="DJ2" s="41">
        <f t="shared" ca="1" si="55"/>
        <v>0.70760394456877429</v>
      </c>
      <c r="DK2" s="24">
        <f t="shared" ca="1" si="55"/>
        <v>0.70760394236644053</v>
      </c>
      <c r="DL2" s="41">
        <f t="shared" ca="1" si="55"/>
        <v>0.7076039423738979</v>
      </c>
      <c r="DM2" s="24">
        <f t="shared" ca="1" si="55"/>
        <v>0.70763533945796198</v>
      </c>
      <c r="DN2" s="41">
        <f t="shared" ca="1" si="55"/>
        <v>0.70763523453564403</v>
      </c>
      <c r="DO2" s="24">
        <f t="shared" ca="1" si="55"/>
        <v>0.70763559833977774</v>
      </c>
      <c r="DP2" s="41">
        <f t="shared" ca="1" si="55"/>
        <v>0.7076355971242092</v>
      </c>
      <c r="DQ2" s="24">
        <f t="shared" ca="1" si="55"/>
        <v>0.70744134659887237</v>
      </c>
      <c r="DR2" s="41">
        <f ca="1">0.25+(0.02*$B$2)+((DR1*10^-6)*(0.0874-(3.5864*$B$2)))</f>
        <v>0.70744204896569696</v>
      </c>
      <c r="DS2" s="24">
        <f t="shared" ca="1" si="55"/>
        <v>0.70747170104305224</v>
      </c>
      <c r="DT2" s="41">
        <f t="shared" ref="DT2:EE2" ca="1" si="56">0.25+(0.02*$B$2)+((DT1*10^-6)*(0.0874-(3.5864*$B$2)))</f>
        <v>0.70747159507067414</v>
      </c>
      <c r="DU2" s="24">
        <f t="shared" ca="1" si="56"/>
        <v>0.70747193452620261</v>
      </c>
      <c r="DV2" s="41">
        <f t="shared" ca="1" si="56"/>
        <v>0.70747193331319869</v>
      </c>
      <c r="DW2" s="24">
        <f t="shared" ca="1" si="56"/>
        <v>0.70727559742997126</v>
      </c>
      <c r="DX2" s="24">
        <f t="shared" ca="1" si="56"/>
        <v>0.70727635349951923</v>
      </c>
      <c r="DY2" s="24">
        <f t="shared" ca="1" si="56"/>
        <v>0.70727635058797222</v>
      </c>
      <c r="DZ2" s="24">
        <f t="shared" ca="1" si="56"/>
        <v>0.70730420545411077</v>
      </c>
      <c r="EA2" s="41">
        <f t="shared" ca="1" si="56"/>
        <v>0.70730409928486571</v>
      </c>
      <c r="EB2" s="24">
        <f t="shared" ca="1" si="56"/>
        <v>0.70730442855466202</v>
      </c>
      <c r="EC2" s="41">
        <f t="shared" ca="1" si="56"/>
        <v>0.70730442895927836</v>
      </c>
      <c r="ED2" s="24">
        <f t="shared" ca="1" si="56"/>
        <v>0.70710608166689259</v>
      </c>
      <c r="EE2" s="41">
        <f t="shared" ca="1" si="56"/>
        <v>0.70710608166523714</v>
      </c>
      <c r="EF2" s="24">
        <f t="shared" ref="EF2:EH2" ca="1" si="57">0.25+(0.02*$B$2)+((EF1*10^-6)*(0.0874-(3.5864*$B$2)))</f>
        <v>0.70713294186317188</v>
      </c>
      <c r="EG2" s="41">
        <f t="shared" ca="1" si="57"/>
        <v>0.70713294186317854</v>
      </c>
      <c r="EH2" s="24">
        <f t="shared" ca="1" si="57"/>
        <v>0.70713312376305748</v>
      </c>
      <c r="EI2" s="41">
        <f t="shared" ref="EI2:EP2" ca="1" si="58">0.25+(0.02*$B$2)+((EI1*10^-6)*(0.0874-(3.5864*$B$2)))</f>
        <v>0.70713312302559428</v>
      </c>
      <c r="EJ2" s="24">
        <f t="shared" ca="1" si="58"/>
        <v>0.70693284946998058</v>
      </c>
      <c r="EK2" s="24">
        <f t="shared" ca="1" si="58"/>
        <v>0.70693371814537176</v>
      </c>
      <c r="EL2" s="41">
        <f t="shared" ca="1" si="58"/>
        <v>0.70693371437754071</v>
      </c>
      <c r="EM2" s="24">
        <f t="shared" ca="1" si="58"/>
        <v>0.7069579147615116</v>
      </c>
      <c r="EN2" s="24">
        <f t="shared" ca="1" si="58"/>
        <v>0.70695781062214269</v>
      </c>
      <c r="EO2" s="41">
        <f t="shared" ca="1" si="58"/>
        <v>0.70695781107027644</v>
      </c>
      <c r="EP2" s="24">
        <f t="shared" ca="1" si="58"/>
        <v>0.70695807537837319</v>
      </c>
      <c r="EQ2" s="24">
        <f t="shared" ref="EQ2:ER2" ca="1" si="59">0.25+(0.02*$B$2)+((EQ1*10^-6)*(0.0874-(3.5864*$B$2)))</f>
        <v>0.70695807424109836</v>
      </c>
      <c r="ER2" s="41">
        <f t="shared" ca="1" si="59"/>
        <v>0.70695807424599189</v>
      </c>
      <c r="ES2" s="24">
        <f t="shared" ref="ES2" ca="1" si="60">0.25+(0.02*$B$2)+((ES1*10^-6)*(0.0874-(3.5864*$B$2)))</f>
        <v>0.70675595624080645</v>
      </c>
      <c r="ET2" s="24">
        <f t="shared" ref="ET2:FA2" ca="1" si="61">0.25+(0.02*$B$2)+((ET1*10^-6)*(0.0874-(3.5864*$B$2)))</f>
        <v>0.70695894392691483</v>
      </c>
      <c r="EU2" s="41">
        <f t="shared" ca="1" si="61"/>
        <v>0.70695807050387516</v>
      </c>
      <c r="EV2" s="24">
        <f t="shared" ca="1" si="61"/>
        <v>0.70675595625797805</v>
      </c>
      <c r="EW2" s="24">
        <f t="shared" ca="1" si="61"/>
        <v>0.7067568837068352</v>
      </c>
      <c r="EX2" s="41">
        <f t="shared" ca="1" si="61"/>
        <v>0.70675687945101751</v>
      </c>
      <c r="EY2" s="24">
        <f t="shared" ca="1" si="61"/>
        <v>0.70677958834564614</v>
      </c>
      <c r="EZ2" s="41">
        <f t="shared" ca="1" si="61"/>
        <v>0.70677948487019226</v>
      </c>
      <c r="FA2" s="24">
        <f t="shared" ca="1" si="61"/>
        <v>0.70657537725890152</v>
      </c>
      <c r="FB2" s="41">
        <f t="shared" ref="FB2:GN2" ca="1" si="62">0.25+(0.02*$B$2)+((FB1*10^-6)*(0.0874-(3.5864*$B$2)))</f>
        <v>0.70657636624002251</v>
      </c>
      <c r="FC2" s="24">
        <f t="shared" ca="1" si="62"/>
        <v>0.7065971893868308</v>
      </c>
      <c r="FD2" s="41">
        <f t="shared" ca="1" si="62"/>
        <v>0.70659708910435837</v>
      </c>
      <c r="FE2" s="24">
        <f t="shared" ca="1" si="62"/>
        <v>0.70659686991466364</v>
      </c>
      <c r="FF2" s="41">
        <f t="shared" ca="1" si="62"/>
        <v>0.7065968709703303</v>
      </c>
      <c r="FG2" s="24">
        <f t="shared" ca="1" si="62"/>
        <v>0.70639134236303447</v>
      </c>
      <c r="FH2" s="41">
        <f t="shared" ca="1" si="62"/>
        <v>0.70639239201724147</v>
      </c>
      <c r="FI2" s="24">
        <f ca="1">0.25+(0.02*$B$2)+((FI1*10^-6)*(0.0874-(3.5864*$B$2)))</f>
        <v>0.70641090297281739</v>
      </c>
      <c r="FJ2" s="41">
        <f t="shared" ca="1" si="62"/>
        <v>0.70641080892081975</v>
      </c>
      <c r="FK2" s="24">
        <f t="shared" ca="1" si="62"/>
        <v>0.70620383056338831</v>
      </c>
      <c r="FL2" s="24">
        <f t="shared" ca="1" si="62"/>
        <v>0.70620494284098179</v>
      </c>
      <c r="FM2" s="41">
        <f t="shared" ca="1" si="62"/>
        <v>0.70620493686373143</v>
      </c>
      <c r="FN2" s="24">
        <f t="shared" ca="1" si="62"/>
        <v>0.70622152630198687</v>
      </c>
      <c r="FO2" s="41">
        <f t="shared" ca="1" si="62"/>
        <v>0.70622143754197853</v>
      </c>
      <c r="FP2" s="24">
        <f t="shared" ca="1" si="62"/>
        <v>0.70601291254792919</v>
      </c>
      <c r="FQ2" s="24">
        <f t="shared" ca="1" si="62"/>
        <v>0.70601408980954017</v>
      </c>
      <c r="FR2" s="41">
        <f t="shared" ca="1" si="62"/>
        <v>0.70601408316311909</v>
      </c>
      <c r="FS2" s="24">
        <f t="shared" ca="1" si="62"/>
        <v>0.7060287345504358</v>
      </c>
      <c r="FT2" s="41">
        <f t="shared" ca="1" si="62"/>
        <v>0.70602865213770549</v>
      </c>
      <c r="FU2" s="24">
        <f t="shared" ca="1" si="62"/>
        <v>0.70581865829848356</v>
      </c>
      <c r="FV2" s="24">
        <f t="shared" ca="1" si="62"/>
        <v>0.70581990195338962</v>
      </c>
      <c r="FW2" s="41">
        <f t="shared" ca="1" si="62"/>
        <v>0.7058198945880424</v>
      </c>
      <c r="FX2" s="24">
        <f t="shared" ca="1" si="62"/>
        <v>0.70583259931598363</v>
      </c>
      <c r="FY2" s="41">
        <f t="shared" ca="1" si="62"/>
        <v>0.7058325243029494</v>
      </c>
      <c r="FZ2" s="24">
        <f t="shared" ca="1" si="62"/>
        <v>0.70562113820376693</v>
      </c>
      <c r="GA2" s="24">
        <f t="shared" ca="1" si="62"/>
        <v>0.70562244960623433</v>
      </c>
      <c r="GB2" s="41">
        <f t="shared" ca="1" si="62"/>
        <v>0.70562244147052233</v>
      </c>
      <c r="GC2" s="24">
        <f t="shared" ca="1" si="62"/>
        <v>0.70563319322703266</v>
      </c>
      <c r="GD2" s="24">
        <f t="shared" ca="1" si="62"/>
        <v>0.70563312668883826</v>
      </c>
      <c r="GE2" s="41">
        <f t="shared" ca="1" si="62"/>
        <v>0.70563312710061576</v>
      </c>
      <c r="GF2" s="41">
        <f t="shared" ca="1" si="62"/>
        <v>0.70542042368240587</v>
      </c>
      <c r="GG2" s="41">
        <f t="shared" ca="1" si="62"/>
        <v>0.70542180413281175</v>
      </c>
      <c r="GH2" s="41">
        <f t="shared" ca="1" si="62"/>
        <v>0.70542179517365466</v>
      </c>
      <c r="GI2" s="24">
        <f t="shared" ca="1" si="62"/>
        <v>0.70543058972845318</v>
      </c>
      <c r="GJ2" s="24">
        <f t="shared" ca="1" si="62"/>
        <v>0.70543053276121837</v>
      </c>
      <c r="GK2" s="41">
        <f t="shared" ca="1" si="62"/>
        <v>0.70543053313022697</v>
      </c>
      <c r="GL2" s="24">
        <f t="shared" ca="1" si="62"/>
        <v>0.70521658696844081</v>
      </c>
      <c r="GM2" s="24">
        <f t="shared" ca="1" si="62"/>
        <v>0.70521803770357383</v>
      </c>
      <c r="GN2" s="41">
        <f t="shared" ca="1" si="62"/>
        <v>0.705218027866368</v>
      </c>
    </row>
    <row r="3" spans="1:196" x14ac:dyDescent="0.25">
      <c r="A3" s="7" t="s">
        <v>2</v>
      </c>
      <c r="B3" s="8">
        <v>135</v>
      </c>
      <c r="C3" t="s">
        <v>4</v>
      </c>
      <c r="E3" s="4">
        <v>2</v>
      </c>
      <c r="F3" s="26">
        <f ca="1">18.2*((($B$16/O3)^0.83)*10^((0.00091*L3)-(0.0125*$B$2))-1.4)</f>
        <v>1622.764272114407</v>
      </c>
      <c r="G3" s="26">
        <v>135</v>
      </c>
      <c r="H3" s="26">
        <f ca="1">BG2</f>
        <v>148.23061467882607</v>
      </c>
      <c r="I3" s="26">
        <f t="shared" ca="1" si="12"/>
        <v>141.61530733941305</v>
      </c>
      <c r="J3" s="26">
        <f>J2</f>
        <v>60</v>
      </c>
      <c r="K3" s="26">
        <f>K2</f>
        <v>62.5</v>
      </c>
      <c r="L3" s="26">
        <f t="shared" si="13"/>
        <v>61.25</v>
      </c>
      <c r="M3" s="30">
        <f ca="1">BX2*((($I$3/18.2)+1.4)*10^((0.0125*$B$2)-(0.00091*($L$3))))^(1/0.83)</f>
        <v>19.481354166748631</v>
      </c>
      <c r="N3" s="26">
        <f ca="1">0.25+(0.02*$B$2)+((BY1*10^-6)*(0.0874-(3.5864*$B$2)))</f>
        <v>0.7083947403129307</v>
      </c>
      <c r="O3" s="26">
        <f t="shared" ca="1" si="14"/>
        <v>0.69942360099490908</v>
      </c>
      <c r="P3" s="26">
        <f t="shared" ca="1" si="15"/>
        <v>669.14660250384793</v>
      </c>
      <c r="Q3" s="26">
        <f t="shared" ca="1" si="16"/>
        <v>389.19775315298688</v>
      </c>
      <c r="R3" s="26">
        <f t="shared" ca="1" si="17"/>
        <v>0.21163569658653195</v>
      </c>
      <c r="S3" s="26">
        <f t="shared" ca="1" si="18"/>
        <v>1.339293446010994</v>
      </c>
      <c r="T3" s="26">
        <f t="shared" ca="1" si="19"/>
        <v>0.96763208308338089</v>
      </c>
      <c r="U3" s="26">
        <f t="shared" ref="U3:U21" ca="1" si="63">(T3*(L3+460)/I3)*($B$17/(520))</f>
        <v>0.10068392081000649</v>
      </c>
      <c r="V3" s="26">
        <f t="shared" ca="1" si="20"/>
        <v>0.53072985920806837</v>
      </c>
      <c r="W3" s="26">
        <f t="shared" ca="1" si="21"/>
        <v>5.5941597894764232</v>
      </c>
      <c r="X3" s="26">
        <f t="shared" ca="1" si="22"/>
        <v>1.2811680421047151</v>
      </c>
      <c r="Y3" s="26">
        <f t="shared" ca="1" si="23"/>
        <v>104.64229544783454</v>
      </c>
      <c r="Z3" s="27">
        <f t="shared" ca="1" si="24"/>
        <v>1.0649464442140951E-2</v>
      </c>
      <c r="AA3" s="26">
        <f t="shared" ca="1" si="25"/>
        <v>0.9978158177596308</v>
      </c>
      <c r="AB3" s="26">
        <v>24</v>
      </c>
      <c r="AC3" s="28">
        <f t="shared" ca="1" si="26"/>
        <v>58.331278050982398</v>
      </c>
      <c r="AD3" s="26">
        <f t="shared" si="27"/>
        <v>0.16498815587413193</v>
      </c>
      <c r="AE3" s="26">
        <f t="shared" ca="1" si="28"/>
        <v>0.32423239680094479</v>
      </c>
      <c r="AF3" s="26">
        <f t="shared" ca="1" si="29"/>
        <v>1.6531778072109642</v>
      </c>
      <c r="AG3" s="26">
        <f t="shared" ca="1" si="30"/>
        <v>1.9651858952123749</v>
      </c>
      <c r="AH3" s="26">
        <f t="shared" ca="1" si="31"/>
        <v>10.019978697574871</v>
      </c>
      <c r="AI3" s="26">
        <f t="shared" ca="1" si="32"/>
        <v>11.985164592787246</v>
      </c>
      <c r="AJ3" s="26">
        <f t="shared" ca="1" si="33"/>
        <v>0.16396820252222796</v>
      </c>
      <c r="AK3" s="26"/>
      <c r="AL3" s="26">
        <f t="shared" ca="1" si="34"/>
        <v>-68.442359389634802</v>
      </c>
      <c r="AM3" s="26">
        <f t="shared" ca="1" si="35"/>
        <v>0.83603179747777201</v>
      </c>
      <c r="AN3" s="26">
        <f t="shared" ca="1" si="36"/>
        <v>69.278391187112575</v>
      </c>
      <c r="AO3" s="26">
        <f t="shared" ca="1" si="37"/>
        <v>30.283171685918699</v>
      </c>
      <c r="AP3" s="26">
        <f t="shared" ca="1" si="38"/>
        <v>4.4867559192557191</v>
      </c>
      <c r="AQ3" s="26">
        <f t="shared" ca="1" si="39"/>
        <v>22.876817323839891</v>
      </c>
      <c r="AR3" s="26">
        <f t="shared" ca="1" si="40"/>
        <v>65.26527690507362</v>
      </c>
      <c r="AS3" s="26">
        <f t="shared" ca="1" si="41"/>
        <v>0.10579207147974881</v>
      </c>
      <c r="AT3" s="26">
        <f t="shared" ca="1" si="42"/>
        <v>6.814830880997865E-3</v>
      </c>
      <c r="AU3" s="26">
        <f t="shared" ca="1" si="43"/>
        <v>9.7147617945257528E-5</v>
      </c>
      <c r="AV3" s="26">
        <f t="shared" ca="1" si="44"/>
        <v>0.32632953314822721</v>
      </c>
      <c r="AW3" s="26">
        <f t="shared" ca="1" si="45"/>
        <v>2.3901273447270921E-3</v>
      </c>
      <c r="AX3" s="26">
        <f t="shared" ca="1" si="46"/>
        <v>0.97471888619520419</v>
      </c>
      <c r="AY3" s="26">
        <f t="shared" ca="1" si="47"/>
        <v>0.31807955908284097</v>
      </c>
      <c r="AZ3" s="26">
        <f t="shared" ca="1" si="48"/>
        <v>18.915902742794149</v>
      </c>
      <c r="BA3" s="26">
        <f t="shared" ca="1" si="49"/>
        <v>3.9441401514332095</v>
      </c>
      <c r="BB3" s="26">
        <f t="shared" ca="1" si="50"/>
        <v>39201.53842885443</v>
      </c>
      <c r="BC3" s="26">
        <f t="shared" ca="1" si="51"/>
        <v>2.2418286644166435E-2</v>
      </c>
      <c r="BD3" s="26">
        <f t="shared" ca="1" si="52"/>
        <v>2.2418286644166435E-2</v>
      </c>
      <c r="BE3" s="26">
        <f t="shared" ref="BE3:BE21" ca="1" si="64">((BD3*AZ3*(AI3^2))/(144*2*32.2*($B$5/12)))+((AZ3*SIN(90))/144)</f>
        <v>0.13176716072856401</v>
      </c>
      <c r="BF3" s="26">
        <f t="shared" ca="1" si="53"/>
        <v>13.176716072856401</v>
      </c>
      <c r="BG3" s="26">
        <f t="shared" ca="1" si="54"/>
        <v>148.17671607285641</v>
      </c>
      <c r="BH3" s="26">
        <f ca="1">(H3-BG3)/H3</f>
        <v>3.6361318534937657E-4</v>
      </c>
      <c r="BI3" t="str">
        <f t="shared" ref="BI3:BI66" ca="1" si="65">IF(BH3&lt;$BI$1,"Listo","Repetir")</f>
        <v>Listo</v>
      </c>
      <c r="BK3" s="1" t="s">
        <v>77</v>
      </c>
      <c r="BL3">
        <f ca="1">BM3</f>
        <v>2.2613723280772973E-2</v>
      </c>
      <c r="BM3">
        <f t="shared" ref="BM3:BU3" ca="1" si="66">(-2*LOG(($B$7/(3.71*$B$5))+(2.514/($BB$2*SQRT(BL3)))))^(-2)</f>
        <v>2.2613723280772973E-2</v>
      </c>
      <c r="BN3">
        <f t="shared" ca="1" si="66"/>
        <v>2.2613723280772973E-2</v>
      </c>
      <c r="BO3">
        <f t="shared" ca="1" si="66"/>
        <v>2.2613723280772973E-2</v>
      </c>
      <c r="BP3">
        <f t="shared" ca="1" si="66"/>
        <v>2.2613723280772973E-2</v>
      </c>
      <c r="BQ3">
        <f t="shared" ca="1" si="66"/>
        <v>2.2613723280772973E-2</v>
      </c>
      <c r="BR3">
        <f t="shared" ca="1" si="66"/>
        <v>2.2613723280772973E-2</v>
      </c>
      <c r="BS3">
        <f t="shared" ca="1" si="66"/>
        <v>2.2613723280772973E-2</v>
      </c>
      <c r="BT3">
        <f t="shared" ca="1" si="66"/>
        <v>2.2613723280772973E-2</v>
      </c>
      <c r="BU3" s="2">
        <f t="shared" ca="1" si="66"/>
        <v>2.2613723280772973E-2</v>
      </c>
      <c r="DG3" s="19"/>
      <c r="DM3" s="19"/>
    </row>
    <row r="4" spans="1:196" x14ac:dyDescent="0.25">
      <c r="A4" s="7" t="s">
        <v>5</v>
      </c>
      <c r="B4" s="8">
        <v>7</v>
      </c>
      <c r="C4" t="s">
        <v>6</v>
      </c>
      <c r="E4" s="4">
        <v>3</v>
      </c>
      <c r="F4" s="26">
        <f t="shared" ref="F4:F61" ca="1" si="67">18.2*((($B$16/O4)^0.83)*10^((0.00091*L4)-(0.0125*$B$2))-1.4)</f>
        <v>1622.7640803236568</v>
      </c>
      <c r="G4" s="26">
        <v>135</v>
      </c>
      <c r="H4" s="26">
        <f ca="1">BG3</f>
        <v>148.17671607285641</v>
      </c>
      <c r="I4" s="26">
        <f t="shared" ca="1" si="12"/>
        <v>141.58835803642819</v>
      </c>
      <c r="J4" s="26">
        <f>J3</f>
        <v>60</v>
      </c>
      <c r="K4" s="26">
        <f>K3</f>
        <v>62.5</v>
      </c>
      <c r="L4" s="26">
        <f t="shared" si="13"/>
        <v>61.25</v>
      </c>
      <c r="M4" s="26">
        <f ca="1">CC2*((($I$4/18.2)+1.4)*10^((0.0125*$B$2)-(0.00091*($L$4))))^(1/0.83)</f>
        <v>19.477577276794957</v>
      </c>
      <c r="N4" s="26">
        <f ca="1">0.25+(0.02*$B$2)+((CD1*10^-6)*(0.0874-(3.5864*$B$2)))</f>
        <v>0.70839505152790749</v>
      </c>
      <c r="O4" s="26">
        <f t="shared" ca="1" si="14"/>
        <v>0.6994236990495899</v>
      </c>
      <c r="P4" s="26">
        <f t="shared" ca="1" si="15"/>
        <v>669.14659883103593</v>
      </c>
      <c r="Q4" s="26">
        <f t="shared" ca="1" si="16"/>
        <v>389.19778330621409</v>
      </c>
      <c r="R4" s="26">
        <f t="shared" ca="1" si="17"/>
        <v>0.21159542360937894</v>
      </c>
      <c r="S4" s="26">
        <f t="shared" ca="1" si="18"/>
        <v>1.3392933422487905</v>
      </c>
      <c r="T4" s="26">
        <f t="shared" ca="1" si="19"/>
        <v>0.96763804615709104</v>
      </c>
      <c r="U4" s="26">
        <f t="shared" ca="1" si="63"/>
        <v>0.10070370513001967</v>
      </c>
      <c r="V4" s="26">
        <f t="shared" ca="1" si="20"/>
        <v>0.53062566604075678</v>
      </c>
      <c r="W4" s="26">
        <f t="shared" ca="1" si="21"/>
        <v>5.5941598178730585</v>
      </c>
      <c r="X4" s="26">
        <f t="shared" ca="1" si="22"/>
        <v>1.2811680364253881</v>
      </c>
      <c r="Y4" s="26">
        <f t="shared" ca="1" si="23"/>
        <v>104.64229099087912</v>
      </c>
      <c r="Z4" s="27">
        <f t="shared" ca="1" si="24"/>
        <v>1.0649464027842602E-2</v>
      </c>
      <c r="AA4" s="26">
        <f t="shared" ca="1" si="25"/>
        <v>0.99777764511960321</v>
      </c>
      <c r="AB4" s="26">
        <v>24</v>
      </c>
      <c r="AC4" s="28">
        <f t="shared" ca="1" si="26"/>
        <v>58.333305267757908</v>
      </c>
      <c r="AD4" s="26">
        <f t="shared" si="27"/>
        <v>0.16498815587413193</v>
      </c>
      <c r="AE4" s="26">
        <f t="shared" ca="1" si="28"/>
        <v>0.32421999290200071</v>
      </c>
      <c r="AF4" s="26">
        <f t="shared" ca="1" si="29"/>
        <v>1.6535246663046146</v>
      </c>
      <c r="AG4" s="26">
        <f t="shared" ca="1" si="30"/>
        <v>1.9651107146706057</v>
      </c>
      <c r="AH4" s="26">
        <f t="shared" ca="1" si="31"/>
        <v>10.0220810248105</v>
      </c>
      <c r="AI4" s="26">
        <f t="shared" ca="1" si="32"/>
        <v>11.987191739481107</v>
      </c>
      <c r="AJ4" s="26">
        <f t="shared" ca="1" si="33"/>
        <v>0.16393420222004979</v>
      </c>
      <c r="AK4" s="26"/>
      <c r="AL4" s="26">
        <f t="shared" ca="1" si="34"/>
        <v>-68.465876078539921</v>
      </c>
      <c r="AM4" s="26">
        <f t="shared" ca="1" si="35"/>
        <v>0.83606579777995016</v>
      </c>
      <c r="AN4" s="26">
        <f t="shared" ca="1" si="36"/>
        <v>69.301941876319873</v>
      </c>
      <c r="AO4" s="26">
        <f t="shared" ca="1" si="37"/>
        <v>30.283742968565541</v>
      </c>
      <c r="AP4" s="26">
        <f t="shared" ca="1" si="38"/>
        <v>4.4866020942228815</v>
      </c>
      <c r="AQ4" s="26">
        <f t="shared" ca="1" si="39"/>
        <v>22.881708078174771</v>
      </c>
      <c r="AR4" s="26">
        <f t="shared" ca="1" si="40"/>
        <v>65.265536145731019</v>
      </c>
      <c r="AS4" s="26">
        <f t="shared" ca="1" si="41"/>
        <v>0.10578965557493948</v>
      </c>
      <c r="AT4" s="26">
        <f t="shared" ca="1" si="42"/>
        <v>6.8147491471046576E-3</v>
      </c>
      <c r="AU4" s="26">
        <f t="shared" ca="1" si="43"/>
        <v>9.7128948319744681E-5</v>
      </c>
      <c r="AV4" s="26">
        <f t="shared" ca="1" si="44"/>
        <v>0.32629754144309475</v>
      </c>
      <c r="AW4" s="26">
        <f t="shared" ca="1" si="45"/>
        <v>2.3906125412554856E-3</v>
      </c>
      <c r="AX4" s="26">
        <f t="shared" ca="1" si="46"/>
        <v>0.97471888620004266</v>
      </c>
      <c r="AY4" s="26">
        <f t="shared" ca="1" si="47"/>
        <v>0.31804837616522558</v>
      </c>
      <c r="AZ4" s="26">
        <f t="shared" ca="1" si="48"/>
        <v>18.914674051365704</v>
      </c>
      <c r="BA4" s="26">
        <f t="shared" ca="1" si="49"/>
        <v>3.9433245059195619</v>
      </c>
      <c r="BB4" s="26">
        <f t="shared" ca="1" si="50"/>
        <v>39213.73148634984</v>
      </c>
      <c r="BC4" s="26">
        <f t="shared" ca="1" si="51"/>
        <v>2.241677394190042E-2</v>
      </c>
      <c r="BD4" s="26">
        <f t="shared" ca="1" si="52"/>
        <v>2.2416773941900427E-2</v>
      </c>
      <c r="BE4" s="26">
        <f t="shared" ca="1" si="64"/>
        <v>0.1317624824917934</v>
      </c>
      <c r="BF4" s="26">
        <f t="shared" ca="1" si="53"/>
        <v>13.17624824917934</v>
      </c>
      <c r="BG4" s="26">
        <f t="shared" ca="1" si="54"/>
        <v>148.17624824917934</v>
      </c>
      <c r="BH4" s="26">
        <f ca="1">ABS(H4-BG4)/H4</f>
        <v>3.157201006128913E-6</v>
      </c>
      <c r="BI4" t="str">
        <f t="shared" ca="1" si="65"/>
        <v>Listo</v>
      </c>
      <c r="BK4" t="s">
        <v>89</v>
      </c>
      <c r="BL4" t="s">
        <v>90</v>
      </c>
    </row>
    <row r="5" spans="1:196" ht="30" x14ac:dyDescent="0.25">
      <c r="A5" s="7" t="s">
        <v>7</v>
      </c>
      <c r="B5" s="8">
        <v>5.5</v>
      </c>
      <c r="C5" t="s">
        <v>6</v>
      </c>
      <c r="D5" s="21" t="s">
        <v>92</v>
      </c>
      <c r="E5" s="4">
        <v>1</v>
      </c>
      <c r="F5" s="26">
        <f t="shared" ca="1" si="67"/>
        <v>1631.5317724225579</v>
      </c>
      <c r="G5" s="32">
        <f ca="1">BG4</f>
        <v>148.17624824917934</v>
      </c>
      <c r="H5" s="32">
        <f ca="1">G5+20</f>
        <v>168.17624824917934</v>
      </c>
      <c r="I5" s="32">
        <f t="shared" ca="1" si="12"/>
        <v>158.17624824917934</v>
      </c>
      <c r="J5" s="32">
        <f>K4</f>
        <v>62.5</v>
      </c>
      <c r="K5" s="32">
        <f>(200+2400)/40</f>
        <v>65</v>
      </c>
      <c r="L5" s="32">
        <f t="shared" si="13"/>
        <v>63.75</v>
      </c>
      <c r="M5" s="31">
        <f ca="1">CG2*((($I$5/18.2)+1.4)*10^((0.0125*$B$2)-(0.00091*($L$5))))^(1/0.83)</f>
        <v>21.687737148141537</v>
      </c>
      <c r="N5" s="32">
        <f ca="1">0.25+(0.02*$B$2)+((CH1*10^-6)*(0.0874-(3.5864*$B$2)))</f>
        <v>0.70821293479654057</v>
      </c>
      <c r="O5" s="32">
        <f t="shared" ca="1" si="14"/>
        <v>0.69936729703264733</v>
      </c>
      <c r="P5" s="32">
        <f t="shared" ca="1" si="15"/>
        <v>669.14871134953648</v>
      </c>
      <c r="Q5" s="32">
        <f t="shared" ca="1" si="16"/>
        <v>389.180438833626</v>
      </c>
      <c r="R5" s="32">
        <f t="shared" ca="1" si="17"/>
        <v>0.2363842977896051</v>
      </c>
      <c r="S5" s="32">
        <f t="shared" ca="1" si="18"/>
        <v>1.3457767856207754</v>
      </c>
      <c r="T5" s="32">
        <f t="shared" ca="1" si="19"/>
        <v>0.96450343635656077</v>
      </c>
      <c r="U5" s="32">
        <f t="shared" ca="1" si="63"/>
        <v>9.0281867921600756E-2</v>
      </c>
      <c r="V5" s="32">
        <f t="shared" ca="1" si="20"/>
        <v>0.59183159058797274</v>
      </c>
      <c r="W5" s="32">
        <f t="shared" ca="1" si="21"/>
        <v>5.5851143348531123</v>
      </c>
      <c r="X5" s="32">
        <f t="shared" ca="1" si="22"/>
        <v>1.2829771330293773</v>
      </c>
      <c r="Y5" s="32">
        <f t="shared" ca="1" si="23"/>
        <v>105.16282108886081</v>
      </c>
      <c r="Z5" s="33">
        <f t="shared" ca="1" si="24"/>
        <v>1.0700595747975595E-2</v>
      </c>
      <c r="AA5" s="32">
        <f t="shared" si="25"/>
        <v>0.99885353020447998</v>
      </c>
      <c r="AB5" s="32">
        <v>24</v>
      </c>
      <c r="AC5" s="34">
        <f t="shared" ca="1" si="26"/>
        <v>58.389925397410877</v>
      </c>
      <c r="AD5" s="32">
        <f t="shared" si="27"/>
        <v>0.16498815587413193</v>
      </c>
      <c r="AE5" s="32">
        <f t="shared" si="28"/>
        <v>0.32456959329271728</v>
      </c>
      <c r="AF5" s="32">
        <f t="shared" ca="1" si="29"/>
        <v>1.4708539208206979</v>
      </c>
      <c r="AG5" s="32">
        <f t="shared" si="30"/>
        <v>1.9672296570205239</v>
      </c>
      <c r="AH5" s="32">
        <f t="shared" ca="1" si="31"/>
        <v>8.9149061217630674</v>
      </c>
      <c r="AI5" s="32">
        <f t="shared" ca="1" si="32"/>
        <v>10.882135778783592</v>
      </c>
      <c r="AJ5" s="32">
        <f t="shared" ca="1" si="33"/>
        <v>0.18077606243950226</v>
      </c>
      <c r="AK5" s="32"/>
      <c r="AL5" s="32">
        <f t="shared" ca="1" si="34"/>
        <v>-56.236115983489789</v>
      </c>
      <c r="AM5" s="32">
        <f t="shared" ca="1" si="35"/>
        <v>0.81922393756049772</v>
      </c>
      <c r="AN5" s="32">
        <f t="shared" ca="1" si="36"/>
        <v>57.05533992105029</v>
      </c>
      <c r="AO5" s="32">
        <f t="shared" ca="1" si="37"/>
        <v>29.828951851620943</v>
      </c>
      <c r="AP5" s="32">
        <f t="shared" ca="1" si="38"/>
        <v>4.5095563439966622</v>
      </c>
      <c r="AQ5" s="32">
        <f t="shared" ca="1" si="39"/>
        <v>20.43598281169665</v>
      </c>
      <c r="AR5" s="32">
        <f t="shared" ca="1" si="40"/>
        <v>65.52878769740596</v>
      </c>
      <c r="AS5" s="32">
        <f t="shared" ca="1" si="41"/>
        <v>0.10697111881001292</v>
      </c>
      <c r="AT5" s="32">
        <f t="shared" ca="1" si="42"/>
        <v>6.8545693301535439E-3</v>
      </c>
      <c r="AU5" s="32">
        <f t="shared" ca="1" si="43"/>
        <v>1.055326447344293E-4</v>
      </c>
      <c r="AV5" s="32">
        <f t="shared" ca="1" si="44"/>
        <v>0.34035865637911727</v>
      </c>
      <c r="AW5" s="32">
        <f t="shared" ca="1" si="45"/>
        <v>2.119129108204458E-3</v>
      </c>
      <c r="AX5" s="32">
        <f t="shared" ca="1" si="46"/>
        <v>0.97471888389974282</v>
      </c>
      <c r="AY5" s="32">
        <f t="shared" ca="1" si="47"/>
        <v>0.33175400967146929</v>
      </c>
      <c r="AZ5" s="32">
        <f t="shared" ca="1" si="48"/>
        <v>19.766580962369186</v>
      </c>
      <c r="BA5" s="32">
        <f t="shared" ca="1" si="49"/>
        <v>4.3473916827309536</v>
      </c>
      <c r="BB5" s="32">
        <f t="shared" ca="1" si="50"/>
        <v>33744.368146224442</v>
      </c>
      <c r="BC5" s="32">
        <f t="shared" ca="1" si="51"/>
        <v>2.3167792184536844E-2</v>
      </c>
      <c r="BD5" s="32">
        <f t="shared" ca="1" si="52"/>
        <v>2.3167792184536844E-2</v>
      </c>
      <c r="BE5" s="32">
        <f t="shared" ca="1" si="64"/>
        <v>0.13547600805827578</v>
      </c>
      <c r="BF5" s="32">
        <f t="shared" ca="1" si="53"/>
        <v>13.547600805827578</v>
      </c>
      <c r="BG5" s="32">
        <f t="shared" ca="1" si="54"/>
        <v>161.72384905500692</v>
      </c>
      <c r="BH5" s="32">
        <f t="shared" ref="BH5:BH6" ca="1" si="68">ABS(H5-BG5)/H5</f>
        <v>3.8366887484683206E-2</v>
      </c>
      <c r="BI5" t="str">
        <f t="shared" ca="1" si="65"/>
        <v>Repetir</v>
      </c>
    </row>
    <row r="6" spans="1:196" x14ac:dyDescent="0.25">
      <c r="A6" s="7" t="s">
        <v>8</v>
      </c>
      <c r="B6" s="8">
        <v>3</v>
      </c>
      <c r="C6" t="s">
        <v>6</v>
      </c>
      <c r="D6" s="24"/>
      <c r="E6" s="20">
        <v>2</v>
      </c>
      <c r="F6" s="26">
        <f t="shared" ca="1" si="67"/>
        <v>1631.5091537494109</v>
      </c>
      <c r="G6" s="32">
        <f ca="1">G5</f>
        <v>148.17624824917934</v>
      </c>
      <c r="H6" s="32">
        <f ca="1">BG5</f>
        <v>161.72384905500692</v>
      </c>
      <c r="I6" s="32">
        <f t="shared" ca="1" si="12"/>
        <v>154.95004865209313</v>
      </c>
      <c r="J6" s="32">
        <v>62.5</v>
      </c>
      <c r="K6" s="32">
        <v>65</v>
      </c>
      <c r="L6" s="32">
        <f t="shared" si="13"/>
        <v>63.75</v>
      </c>
      <c r="M6" s="32">
        <f ca="1">CK2*((($I$6/18.2)+1.4)*10^((0.0125*$B$2)-(0.00091*($L$6))))^(1/0.83)</f>
        <v>21.230686164218056</v>
      </c>
      <c r="N6" s="32">
        <f ca="1">0.25+(0.02*$B$2)+((CL1*10^-6)*(0.0874-(3.5864*$B$2)))</f>
        <v>0.70825059570620563</v>
      </c>
      <c r="O6" s="32">
        <f t="shared" ca="1" si="14"/>
        <v>0.69937879908379263</v>
      </c>
      <c r="P6" s="32">
        <f t="shared" ca="1" si="15"/>
        <v>669.14828056346107</v>
      </c>
      <c r="Q6" s="32">
        <f t="shared" ca="1" si="16"/>
        <v>389.18397589463405</v>
      </c>
      <c r="R6" s="32">
        <f t="shared" ca="1" si="17"/>
        <v>0.23156309767637204</v>
      </c>
      <c r="S6" s="32">
        <f t="shared" ca="1" si="18"/>
        <v>1.345764554658329</v>
      </c>
      <c r="T6" s="32">
        <f t="shared" ca="1" si="19"/>
        <v>0.96520201854945431</v>
      </c>
      <c r="U6" s="32">
        <f t="shared" ca="1" si="63"/>
        <v>9.2228369669755589E-2</v>
      </c>
      <c r="V6" s="32">
        <f t="shared" ca="1" si="20"/>
        <v>0.57935037170589676</v>
      </c>
      <c r="W6" s="32">
        <f t="shared" ca="1" si="21"/>
        <v>5.5851176658471244</v>
      </c>
      <c r="X6" s="32">
        <f t="shared" ca="1" si="22"/>
        <v>1.282976466830575</v>
      </c>
      <c r="Y6" s="32">
        <f t="shared" ca="1" si="23"/>
        <v>105.16229699839397</v>
      </c>
      <c r="Z6" s="33">
        <f t="shared" ca="1" si="24"/>
        <v>1.0700547011538289E-2</v>
      </c>
      <c r="AA6" s="32">
        <f t="shared" si="25"/>
        <v>0.99885353020447998</v>
      </c>
      <c r="AB6" s="32">
        <v>24</v>
      </c>
      <c r="AC6" s="34">
        <f t="shared" ca="1" si="26"/>
        <v>58.36522829826108</v>
      </c>
      <c r="AD6" s="32">
        <f t="shared" si="27"/>
        <v>0.16498815587413193</v>
      </c>
      <c r="AE6" s="32">
        <f t="shared" si="28"/>
        <v>0.32456959329271728</v>
      </c>
      <c r="AF6" s="32">
        <f t="shared" ca="1" si="29"/>
        <v>1.5050053469716738</v>
      </c>
      <c r="AG6" s="32">
        <f t="shared" si="30"/>
        <v>1.9672296570205239</v>
      </c>
      <c r="AH6" s="32">
        <f t="shared" ca="1" si="31"/>
        <v>9.1218993205780752</v>
      </c>
      <c r="AI6" s="32">
        <f t="shared" ca="1" si="32"/>
        <v>11.089128977598598</v>
      </c>
      <c r="AJ6" s="32">
        <f t="shared" ca="1" si="33"/>
        <v>0.17740163911832652</v>
      </c>
      <c r="AK6" s="32"/>
      <c r="AL6" s="32">
        <f t="shared" ca="1" si="34"/>
        <v>-58.436970856279977</v>
      </c>
      <c r="AM6" s="32">
        <f t="shared" ca="1" si="35"/>
        <v>0.82259836088167348</v>
      </c>
      <c r="AN6" s="32">
        <f t="shared" ca="1" si="36"/>
        <v>59.259569217161648</v>
      </c>
      <c r="AO6" s="32">
        <f t="shared" ca="1" si="37"/>
        <v>29.896391880918394</v>
      </c>
      <c r="AP6" s="32">
        <f t="shared" ca="1" si="38"/>
        <v>4.5065343785005938</v>
      </c>
      <c r="AQ6" s="32">
        <f t="shared" ca="1" si="39"/>
        <v>20.896468665314263</v>
      </c>
      <c r="AR6" s="32">
        <f t="shared" ca="1" si="40"/>
        <v>65.484875232339547</v>
      </c>
      <c r="AS6" s="32">
        <f t="shared" ca="1" si="41"/>
        <v>0.10680138451543464</v>
      </c>
      <c r="AT6" s="32">
        <f t="shared" ca="1" si="42"/>
        <v>6.848867109165574E-3</v>
      </c>
      <c r="AU6" s="32">
        <f t="shared" ca="1" si="43"/>
        <v>1.0388813366417777E-4</v>
      </c>
      <c r="AV6" s="32">
        <f t="shared" ca="1" si="44"/>
        <v>0.33765931961264656</v>
      </c>
      <c r="AW6" s="32">
        <f t="shared" ca="1" si="45"/>
        <v>2.1696457945857253E-3</v>
      </c>
      <c r="AX6" s="32">
        <f t="shared" ca="1" si="46"/>
        <v>0.97471888426961484</v>
      </c>
      <c r="AY6" s="32">
        <f t="shared" ca="1" si="47"/>
        <v>0.32912291527607612</v>
      </c>
      <c r="AZ6" s="32">
        <f t="shared" ca="1" si="48"/>
        <v>19.598006976681198</v>
      </c>
      <c r="BA6" s="32">
        <f t="shared" ca="1" si="49"/>
        <v>4.2664415912720655</v>
      </c>
      <c r="BB6" s="32">
        <f t="shared" ca="1" si="50"/>
        <v>34739.847924739966</v>
      </c>
      <c r="BC6" s="32">
        <f t="shared" ca="1" si="51"/>
        <v>2.3019201502392828E-2</v>
      </c>
      <c r="BD6" s="32">
        <f t="shared" ca="1" si="52"/>
        <v>2.3019201502392828E-2</v>
      </c>
      <c r="BE6" s="32">
        <f t="shared" ca="1" si="64"/>
        <v>0.13472221030662179</v>
      </c>
      <c r="BF6" s="32">
        <f t="shared" ca="1" si="53"/>
        <v>13.47222103066218</v>
      </c>
      <c r="BG6" s="32">
        <f t="shared" ca="1" si="54"/>
        <v>161.64846927984152</v>
      </c>
      <c r="BH6" s="32">
        <f t="shared" ca="1" si="68"/>
        <v>4.6610178774413865E-4</v>
      </c>
      <c r="BI6" t="str">
        <f t="shared" ca="1" si="65"/>
        <v>Listo</v>
      </c>
    </row>
    <row r="7" spans="1:196" x14ac:dyDescent="0.25">
      <c r="A7" s="9" t="s">
        <v>9</v>
      </c>
      <c r="B7" s="8">
        <v>5.9999999999999995E-4</v>
      </c>
      <c r="C7" t="s">
        <v>6</v>
      </c>
      <c r="D7" s="24"/>
      <c r="E7" s="20">
        <v>3</v>
      </c>
      <c r="F7" s="26">
        <f t="shared" ca="1" si="67"/>
        <v>1631.5088890026134</v>
      </c>
      <c r="G7" s="32">
        <f ca="1">G6</f>
        <v>148.17624824917934</v>
      </c>
      <c r="H7" s="32">
        <f ca="1">BG6</f>
        <v>161.64846927984152</v>
      </c>
      <c r="I7" s="32">
        <f t="shared" ca="1" si="12"/>
        <v>154.91235876451043</v>
      </c>
      <c r="J7" s="32">
        <v>62.5</v>
      </c>
      <c r="K7" s="32">
        <v>65</v>
      </c>
      <c r="L7" s="32">
        <f t="shared" si="13"/>
        <v>63.75</v>
      </c>
      <c r="M7" s="32">
        <f ca="1">CM2*((($I$7/18.2)+1.4)*10^((0.0125*$B$2)-(0.00091*($L$7))))^(1/0.83)</f>
        <v>21.225356273770004</v>
      </c>
      <c r="N7" s="32">
        <f ca="1">0.25+(0.02*$B$2)+((CN1*10^-6)*(0.0874-(3.5864*$B$2)))</f>
        <v>0.70825103488811259</v>
      </c>
      <c r="O7" s="32">
        <f t="shared" ca="1" si="14"/>
        <v>0.69937893371492399</v>
      </c>
      <c r="P7" s="32">
        <f t="shared" ca="1" si="15"/>
        <v>669.14827552106544</v>
      </c>
      <c r="Q7" s="32">
        <f t="shared" ca="1" si="16"/>
        <v>389.1840172957975</v>
      </c>
      <c r="R7" s="32">
        <f t="shared" ca="1" si="17"/>
        <v>0.23150677425549704</v>
      </c>
      <c r="S7" s="32">
        <f t="shared" ca="1" si="18"/>
        <v>1.3457644114966989</v>
      </c>
      <c r="T7" s="32">
        <f t="shared" ca="1" si="19"/>
        <v>0.96521018591951113</v>
      </c>
      <c r="U7" s="32">
        <f t="shared" ca="1" si="63"/>
        <v>9.2251589270006151E-2</v>
      </c>
      <c r="V7" s="32">
        <f t="shared" ca="1" si="20"/>
        <v>0.5792046614983658</v>
      </c>
      <c r="W7" s="32">
        <f t="shared" ca="1" si="21"/>
        <v>5.5851177048362999</v>
      </c>
      <c r="X7" s="32">
        <f t="shared" ca="1" si="22"/>
        <v>1.2829764590327399</v>
      </c>
      <c r="Y7" s="32">
        <f t="shared" ca="1" si="23"/>
        <v>105.16229086396739</v>
      </c>
      <c r="Z7" s="33">
        <f t="shared" ca="1" si="24"/>
        <v>1.0700546441083472E-2</v>
      </c>
      <c r="AA7" s="32">
        <f t="shared" si="25"/>
        <v>0.99885353020447998</v>
      </c>
      <c r="AB7" s="32">
        <v>24</v>
      </c>
      <c r="AC7" s="34">
        <f t="shared" ca="1" si="26"/>
        <v>58.364940278025841</v>
      </c>
      <c r="AD7" s="32">
        <f t="shared" si="27"/>
        <v>0.16498815587413193</v>
      </c>
      <c r="AE7" s="32">
        <f t="shared" si="28"/>
        <v>0.32456959329271728</v>
      </c>
      <c r="AF7" s="32">
        <f t="shared" ca="1" si="29"/>
        <v>1.505412704483865</v>
      </c>
      <c r="AG7" s="32">
        <f t="shared" si="30"/>
        <v>1.9672296570205239</v>
      </c>
      <c r="AH7" s="32">
        <f t="shared" ca="1" si="31"/>
        <v>9.1243683312172514</v>
      </c>
      <c r="AI7" s="32">
        <f t="shared" ca="1" si="32"/>
        <v>11.091597988237776</v>
      </c>
      <c r="AJ7" s="32">
        <f t="shared" ca="1" si="33"/>
        <v>0.17736214917874749</v>
      </c>
      <c r="AK7" s="32"/>
      <c r="AL7" s="32">
        <f t="shared" ca="1" si="34"/>
        <v>-58.463472878229489</v>
      </c>
      <c r="AM7" s="32">
        <f t="shared" ca="1" si="35"/>
        <v>0.8226378508212524</v>
      </c>
      <c r="AN7" s="32">
        <f t="shared" ca="1" si="36"/>
        <v>59.286110729050741</v>
      </c>
      <c r="AO7" s="32">
        <f t="shared" ca="1" si="37"/>
        <v>29.897180645477686</v>
      </c>
      <c r="AP7" s="32">
        <f t="shared" ca="1" si="38"/>
        <v>4.5064990950375909</v>
      </c>
      <c r="AQ7" s="32">
        <f t="shared" ca="1" si="39"/>
        <v>20.901961029652785</v>
      </c>
      <c r="AR7" s="32">
        <f t="shared" ca="1" si="40"/>
        <v>65.484362525017602</v>
      </c>
      <c r="AS7" s="32">
        <f t="shared" ca="1" si="41"/>
        <v>0.10679940299539181</v>
      </c>
      <c r="AT7" s="32">
        <f t="shared" ca="1" si="42"/>
        <v>6.8488005034046213E-3</v>
      </c>
      <c r="AU7" s="32">
        <f t="shared" ca="1" si="43"/>
        <v>1.0386889916768961E-4</v>
      </c>
      <c r="AV7" s="32">
        <f t="shared" ca="1" si="44"/>
        <v>0.33762760067126113</v>
      </c>
      <c r="AW7" s="32">
        <f t="shared" ca="1" si="45"/>
        <v>2.1702483933603864E-3</v>
      </c>
      <c r="AX7" s="32">
        <f t="shared" ca="1" si="46"/>
        <v>0.97471888427417774</v>
      </c>
      <c r="AY7" s="32">
        <f t="shared" ca="1" si="47"/>
        <v>0.32909199822645929</v>
      </c>
      <c r="AZ7" s="32">
        <f t="shared" ca="1" si="48"/>
        <v>19.596027864527272</v>
      </c>
      <c r="BA7" s="32">
        <f t="shared" ca="1" si="49"/>
        <v>4.2654942548168453</v>
      </c>
      <c r="BB7" s="32">
        <f t="shared" ca="1" si="50"/>
        <v>34751.790220334231</v>
      </c>
      <c r="BC7" s="32">
        <f t="shared" ca="1" si="51"/>
        <v>2.3017454312086745E-2</v>
      </c>
      <c r="BD7" s="32">
        <f t="shared" ca="1" si="52"/>
        <v>2.3017454312086745E-2</v>
      </c>
      <c r="BE7" s="32">
        <f t="shared" ca="1" si="64"/>
        <v>0.13471342637092168</v>
      </c>
      <c r="BF7" s="32">
        <f t="shared" ca="1" si="53"/>
        <v>13.471342637092167</v>
      </c>
      <c r="BG7" s="32">
        <f t="shared" ca="1" si="54"/>
        <v>161.6475908862715</v>
      </c>
      <c r="BH7" s="32">
        <f t="shared" ref="BH7:BH21" ca="1" si="69">ABS(H7-BG7)/H7</f>
        <v>5.4339739431664293E-6</v>
      </c>
      <c r="BI7" t="str">
        <f t="shared" ca="1" si="65"/>
        <v>Listo</v>
      </c>
    </row>
    <row r="8" spans="1:196" ht="30" x14ac:dyDescent="0.25">
      <c r="A8" s="9" t="s">
        <v>10</v>
      </c>
      <c r="B8" s="8">
        <v>0.7</v>
      </c>
      <c r="D8" s="21" t="s">
        <v>93</v>
      </c>
      <c r="E8" s="23">
        <v>1</v>
      </c>
      <c r="F8" s="26">
        <f t="shared" ca="1" si="67"/>
        <v>1640.3214248060785</v>
      </c>
      <c r="G8" s="35">
        <f ca="1">BG7</f>
        <v>161.6475908862715</v>
      </c>
      <c r="H8" s="35">
        <f ca="1">G8+20</f>
        <v>181.6475908862715</v>
      </c>
      <c r="I8" s="35">
        <f t="shared" ca="1" si="12"/>
        <v>171.6475908862715</v>
      </c>
      <c r="J8" s="35">
        <f>K7</f>
        <v>65</v>
      </c>
      <c r="K8" s="35">
        <f>(300+2400)/40</f>
        <v>67.5</v>
      </c>
      <c r="L8" s="35">
        <f t="shared" si="13"/>
        <v>66.25</v>
      </c>
      <c r="M8" s="35">
        <f ca="1">CP2*((($I$8/18.2)+1.4)*10^((0.0125*$B$2)-(0.00091*($L$8))))^(1/0.83)</f>
        <v>23.465059546041346</v>
      </c>
      <c r="N8" s="35">
        <f ca="1">0.25+(0.02*$B$2)+((CQ1*10^-6)*(0.0874-(3.5864*$B$2)))</f>
        <v>0.70806648378641812</v>
      </c>
      <c r="O8" s="35">
        <f t="shared" ca="1" si="14"/>
        <v>0.69932338178460585</v>
      </c>
      <c r="P8" s="35">
        <f t="shared" ca="1" si="15"/>
        <v>669.15035601511943</v>
      </c>
      <c r="Q8" s="35">
        <f t="shared" ca="1" si="16"/>
        <v>389.16693417611367</v>
      </c>
      <c r="R8" s="35">
        <f t="shared" ca="1" si="17"/>
        <v>0.25651572825643559</v>
      </c>
      <c r="S8" s="35">
        <f t="shared" ca="1" si="18"/>
        <v>1.3522474644823004</v>
      </c>
      <c r="T8" s="35">
        <f t="shared" ca="1" si="19"/>
        <v>0.96215433414700458</v>
      </c>
      <c r="U8" s="35">
        <f t="shared" ca="1" si="63"/>
        <v>8.3389837609881612E-2</v>
      </c>
      <c r="V8" s="35">
        <f t="shared" ca="1" si="20"/>
        <v>0.64070524538367357</v>
      </c>
      <c r="W8" s="35">
        <f t="shared" ca="1" si="21"/>
        <v>5.5761582556403564</v>
      </c>
      <c r="X8" s="35">
        <f t="shared" ca="1" si="22"/>
        <v>1.2847683488719286</v>
      </c>
      <c r="Y8" s="35">
        <f t="shared" ca="1" si="23"/>
        <v>105.68227404423462</v>
      </c>
      <c r="Z8" s="36">
        <f t="shared" ca="1" si="24"/>
        <v>1.0751639681483679E-2</v>
      </c>
      <c r="AA8" s="35">
        <f t="shared" si="25"/>
        <v>0.99993788874484457</v>
      </c>
      <c r="AB8" s="35">
        <v>24</v>
      </c>
      <c r="AC8" s="37">
        <f t="shared" ca="1" si="26"/>
        <v>58.422515675316504</v>
      </c>
      <c r="AD8" s="35">
        <f t="shared" si="27"/>
        <v>0.16498815587413193</v>
      </c>
      <c r="AE8" s="35">
        <f t="shared" si="28"/>
        <v>0.32492194706610544</v>
      </c>
      <c r="AF8" s="35">
        <f t="shared" ca="1" si="29"/>
        <v>1.3499933539723159</v>
      </c>
      <c r="AG8" s="35">
        <f t="shared" si="30"/>
        <v>1.9693652877360823</v>
      </c>
      <c r="AH8" s="35">
        <f t="shared" ca="1" si="31"/>
        <v>8.1823652541593006</v>
      </c>
      <c r="AI8" s="35">
        <f t="shared" ca="1" si="32"/>
        <v>10.151730541895382</v>
      </c>
      <c r="AJ8" s="35">
        <f t="shared" ca="1" si="33"/>
        <v>0.1939930615384903</v>
      </c>
      <c r="AK8" s="35"/>
      <c r="AL8" s="35">
        <f t="shared" ca="1" si="34"/>
        <v>-48.80141921808795</v>
      </c>
      <c r="AM8" s="35">
        <f t="shared" ca="1" si="35"/>
        <v>0.80600693846150973</v>
      </c>
      <c r="AN8" s="35">
        <f t="shared" ca="1" si="36"/>
        <v>49.607426156549458</v>
      </c>
      <c r="AO8" s="35">
        <f t="shared" ca="1" si="37"/>
        <v>29.444791547094209</v>
      </c>
      <c r="AP8" s="35">
        <f t="shared" ca="1" si="38"/>
        <v>4.5297370686700846</v>
      </c>
      <c r="AQ8" s="35">
        <f t="shared" ca="1" si="39"/>
        <v>18.820258197894319</v>
      </c>
      <c r="AR8" s="35">
        <f t="shared" ca="1" si="40"/>
        <v>65.750656587139787</v>
      </c>
      <c r="AS8" s="35">
        <f t="shared" ca="1" si="41"/>
        <v>0.10800107704384347</v>
      </c>
      <c r="AT8" s="35">
        <f t="shared" ca="1" si="42"/>
        <v>6.8890380963225143E-3</v>
      </c>
      <c r="AU8" s="35">
        <f t="shared" ca="1" si="43"/>
        <v>1.1224159175970837E-4</v>
      </c>
      <c r="AV8" s="35">
        <f t="shared" ca="1" si="44"/>
        <v>0.35112049327363626</v>
      </c>
      <c r="AW8" s="35">
        <f t="shared" ca="1" si="45"/>
        <v>1.9393767492908839E-3</v>
      </c>
      <c r="AX8" s="35">
        <f t="shared" ca="1" si="46"/>
        <v>0.97471888277314889</v>
      </c>
      <c r="AY8" s="35">
        <f t="shared" ca="1" si="47"/>
        <v>0.34224377492243568</v>
      </c>
      <c r="AZ8" s="35">
        <f t="shared" ca="1" si="48"/>
        <v>20.416170168776453</v>
      </c>
      <c r="BA8" s="35">
        <f t="shared" ca="1" si="49"/>
        <v>4.6644993731068816</v>
      </c>
      <c r="BB8" s="35">
        <f t="shared" ca="1" si="50"/>
        <v>30303.562980857499</v>
      </c>
      <c r="BC8" s="35">
        <f t="shared" ca="1" si="51"/>
        <v>2.3731372910384727E-2</v>
      </c>
      <c r="BD8" s="35">
        <f t="shared" ca="1" si="52"/>
        <v>2.3731372910384727E-2</v>
      </c>
      <c r="BE8" s="35">
        <f t="shared" ca="1" si="64"/>
        <v>0.13849747215264419</v>
      </c>
      <c r="BF8" s="35">
        <f t="shared" ca="1" si="53"/>
        <v>13.849747215264419</v>
      </c>
      <c r="BG8" s="35">
        <f t="shared" ca="1" si="54"/>
        <v>175.49733810153592</v>
      </c>
      <c r="BH8" s="35">
        <f t="shared" ca="1" si="69"/>
        <v>3.385815773679169E-2</v>
      </c>
      <c r="BI8" t="str">
        <f t="shared" ca="1" si="65"/>
        <v>Repetir</v>
      </c>
    </row>
    <row r="9" spans="1:196" x14ac:dyDescent="0.25">
      <c r="A9" s="9" t="s">
        <v>11</v>
      </c>
      <c r="B9" s="8">
        <v>6800</v>
      </c>
      <c r="C9" t="s">
        <v>12</v>
      </c>
      <c r="E9" s="23">
        <v>2</v>
      </c>
      <c r="F9" s="26">
        <f t="shared" ca="1" si="67"/>
        <v>1640.300212263465</v>
      </c>
      <c r="G9" s="35">
        <f ca="1">BG7</f>
        <v>161.6475908862715</v>
      </c>
      <c r="H9" s="35">
        <f ca="1">BG8</f>
        <v>175.49733810153592</v>
      </c>
      <c r="I9" s="35">
        <f t="shared" ca="1" si="12"/>
        <v>168.57246449390371</v>
      </c>
      <c r="J9" s="35">
        <f>J8</f>
        <v>65</v>
      </c>
      <c r="K9" s="35">
        <f>K8</f>
        <v>67.5</v>
      </c>
      <c r="L9" s="35">
        <f t="shared" si="13"/>
        <v>66.25</v>
      </c>
      <c r="M9" s="35">
        <f ca="1">CR2*((($I$9/18.2)+1.4)*10^((0.0125*$B$2)-(0.00091*($L$9))))^(1/0.83)</f>
        <v>23.025925939706234</v>
      </c>
      <c r="N9" s="35">
        <f ca="1">0.25+(0.02*$B$2)+((CS1*10^-6)*(0.0874-(3.5864*$B$2)))</f>
        <v>0.70810266830775337</v>
      </c>
      <c r="O9" s="35">
        <f t="shared" ca="1" si="14"/>
        <v>0.69933411118746092</v>
      </c>
      <c r="P9" s="35">
        <f t="shared" ca="1" si="15"/>
        <v>669.1499542026736</v>
      </c>
      <c r="Q9" s="35">
        <f t="shared" ca="1" si="16"/>
        <v>389.17023364754533</v>
      </c>
      <c r="R9" s="35">
        <f t="shared" ca="1" si="17"/>
        <v>0.2519203108887102</v>
      </c>
      <c r="S9" s="35">
        <f t="shared" ca="1" si="18"/>
        <v>1.3522359998288098</v>
      </c>
      <c r="T9" s="35">
        <f t="shared" ca="1" si="19"/>
        <v>0.9628063393100057</v>
      </c>
      <c r="U9" s="35">
        <f t="shared" ca="1" si="63"/>
        <v>8.4968588713818571E-2</v>
      </c>
      <c r="V9" s="35">
        <f t="shared" ca="1" si="20"/>
        <v>0.62881032748085119</v>
      </c>
      <c r="W9" s="35">
        <f t="shared" ca="1" si="21"/>
        <v>5.576161362875423</v>
      </c>
      <c r="X9" s="35">
        <f t="shared" ca="1" si="22"/>
        <v>1.2847677274249152</v>
      </c>
      <c r="Y9" s="35">
        <f t="shared" ca="1" si="23"/>
        <v>105.68178397865097</v>
      </c>
      <c r="Z9" s="36">
        <f t="shared" ca="1" si="24"/>
        <v>1.0751594091342803E-2</v>
      </c>
      <c r="AA9" s="35">
        <f t="shared" si="25"/>
        <v>0.99993788874484457</v>
      </c>
      <c r="AB9" s="35">
        <v>24</v>
      </c>
      <c r="AC9" s="37">
        <f t="shared" ca="1" si="26"/>
        <v>58.398822364563081</v>
      </c>
      <c r="AD9" s="35">
        <f t="shared" si="27"/>
        <v>0.16498815587413193</v>
      </c>
      <c r="AE9" s="35">
        <f t="shared" si="28"/>
        <v>0.32492194706610544</v>
      </c>
      <c r="AF9" s="35">
        <f t="shared" ca="1" si="29"/>
        <v>1.3777109579277309</v>
      </c>
      <c r="AG9" s="35">
        <f t="shared" si="30"/>
        <v>1.9693652877360823</v>
      </c>
      <c r="AH9" s="35">
        <f t="shared" ca="1" si="31"/>
        <v>8.3503627919738364</v>
      </c>
      <c r="AI9" s="35">
        <f t="shared" ca="1" si="32"/>
        <v>10.319728079709918</v>
      </c>
      <c r="AJ9" s="35">
        <f t="shared" ca="1" si="33"/>
        <v>0.19083499802752943</v>
      </c>
      <c r="AK9" s="35"/>
      <c r="AL9" s="35">
        <f t="shared" ca="1" si="34"/>
        <v>-50.465720611119266</v>
      </c>
      <c r="AM9" s="35">
        <f t="shared" ca="1" si="35"/>
        <v>0.80916500197247065</v>
      </c>
      <c r="AN9" s="35">
        <f t="shared" ca="1" si="36"/>
        <v>51.27488561309174</v>
      </c>
      <c r="AO9" s="35">
        <f t="shared" ca="1" si="37"/>
        <v>29.508242333231994</v>
      </c>
      <c r="AP9" s="35">
        <f t="shared" ca="1" si="38"/>
        <v>4.5268409768999858</v>
      </c>
      <c r="AQ9" s="35">
        <f t="shared" ca="1" si="39"/>
        <v>19.194389529503002</v>
      </c>
      <c r="AR9" s="35">
        <f t="shared" ca="1" si="40"/>
        <v>65.708618841342641</v>
      </c>
      <c r="AS9" s="35">
        <f t="shared" ca="1" si="41"/>
        <v>0.10783779140570147</v>
      </c>
      <c r="AT9" s="35">
        <f t="shared" ca="1" si="42"/>
        <v>6.8835887102844428E-3</v>
      </c>
      <c r="AU9" s="35">
        <f t="shared" ca="1" si="43"/>
        <v>1.1069028833185675E-4</v>
      </c>
      <c r="AV9" s="35">
        <f t="shared" ca="1" si="44"/>
        <v>0.34866699007129076</v>
      </c>
      <c r="AW9" s="35">
        <f t="shared" ca="1" si="45"/>
        <v>1.9803392619903021E-3</v>
      </c>
      <c r="AX9" s="35">
        <f t="shared" ca="1" si="46"/>
        <v>0.9747188830052963</v>
      </c>
      <c r="AY9" s="35">
        <f t="shared" ca="1" si="47"/>
        <v>0.33985229910310727</v>
      </c>
      <c r="AZ9" s="35">
        <f t="shared" ca="1" si="48"/>
        <v>20.262081737497429</v>
      </c>
      <c r="BA9" s="35">
        <f t="shared" ca="1" si="49"/>
        <v>4.588739766314835</v>
      </c>
      <c r="BB9" s="35">
        <f t="shared" ca="1" si="50"/>
        <v>31077.298743164261</v>
      </c>
      <c r="BC9" s="35">
        <f t="shared" ca="1" si="51"/>
        <v>2.3597258723330464E-2</v>
      </c>
      <c r="BD9" s="35">
        <f t="shared" ca="1" si="52"/>
        <v>2.3597258723330464E-2</v>
      </c>
      <c r="BE9" s="35">
        <f t="shared" ca="1" si="64"/>
        <v>0.13777316397626346</v>
      </c>
      <c r="BF9" s="35">
        <f t="shared" ca="1" si="53"/>
        <v>13.777316397626347</v>
      </c>
      <c r="BG9" s="35">
        <f t="shared" ca="1" si="54"/>
        <v>175.42490728389785</v>
      </c>
      <c r="BH9" s="35">
        <f t="shared" ca="1" si="69"/>
        <v>4.1271747151035951E-4</v>
      </c>
      <c r="BI9" t="str">
        <f t="shared" ca="1" si="65"/>
        <v>Listo</v>
      </c>
    </row>
    <row r="10" spans="1:196" x14ac:dyDescent="0.25">
      <c r="A10" s="9" t="s">
        <v>13</v>
      </c>
      <c r="B10" s="8">
        <v>60</v>
      </c>
      <c r="C10" t="s">
        <v>15</v>
      </c>
      <c r="E10" s="23">
        <v>3</v>
      </c>
      <c r="F10" s="26">
        <f t="shared" ca="1" si="67"/>
        <v>1640.2999617531243</v>
      </c>
      <c r="G10" s="35">
        <f ca="1">BG7</f>
        <v>161.6475908862715</v>
      </c>
      <c r="H10" s="35">
        <f ca="1">BG9</f>
        <v>175.42490728389785</v>
      </c>
      <c r="I10" s="35">
        <f t="shared" ca="1" si="12"/>
        <v>168.53624908508468</v>
      </c>
      <c r="J10" s="35">
        <f>J9</f>
        <v>65</v>
      </c>
      <c r="K10" s="35">
        <f>K9</f>
        <v>67.5</v>
      </c>
      <c r="L10" s="35">
        <f t="shared" si="13"/>
        <v>66.25</v>
      </c>
      <c r="M10" s="35">
        <f ca="1">CT2*((($I$10/18.2)+1.4)*10^((0.0125*$B$2)-(0.00091*($L$10))))^(1/0.83)</f>
        <v>23.020759337769825</v>
      </c>
      <c r="N10" s="35">
        <f ca="1">0.25+(0.02*$B$2)+((CU1*10^-6)*(0.0874-(3.5864*$B$2)))</f>
        <v>0.7081030940347196</v>
      </c>
      <c r="O10" s="35">
        <f t="shared" ca="1" si="14"/>
        <v>0.69933423789855842</v>
      </c>
      <c r="P10" s="35">
        <f t="shared" ca="1" si="15"/>
        <v>669.14994945733497</v>
      </c>
      <c r="Q10" s="35">
        <f t="shared" ca="1" si="16"/>
        <v>389.17027261331697</v>
      </c>
      <c r="R10" s="35">
        <f t="shared" ca="1" si="17"/>
        <v>0.25186619116053682</v>
      </c>
      <c r="S10" s="35">
        <f t="shared" ca="1" si="18"/>
        <v>1.3522358644358394</v>
      </c>
      <c r="T10" s="35">
        <f t="shared" ca="1" si="19"/>
        <v>0.96281402351461876</v>
      </c>
      <c r="U10" s="35">
        <f t="shared" ca="1" si="63"/>
        <v>8.4987525219574117E-2</v>
      </c>
      <c r="V10" s="35">
        <f t="shared" ca="1" si="20"/>
        <v>0.62867033293898278</v>
      </c>
      <c r="W10" s="35">
        <f t="shared" ca="1" si="21"/>
        <v>5.5761613995709567</v>
      </c>
      <c r="X10" s="35">
        <f t="shared" ca="1" si="22"/>
        <v>1.2847677200858085</v>
      </c>
      <c r="Y10" s="35">
        <f t="shared" ca="1" si="23"/>
        <v>105.68177819115117</v>
      </c>
      <c r="Z10" s="36">
        <f t="shared" ca="1" si="24"/>
        <v>1.0751593552939771E-2</v>
      </c>
      <c r="AA10" s="35">
        <f t="shared" si="25"/>
        <v>0.99993788874484457</v>
      </c>
      <c r="AB10" s="35">
        <v>24</v>
      </c>
      <c r="AC10" s="37">
        <f t="shared" ca="1" si="26"/>
        <v>58.398543587785781</v>
      </c>
      <c r="AD10" s="35">
        <f t="shared" si="27"/>
        <v>0.16498815587413193</v>
      </c>
      <c r="AE10" s="35">
        <f t="shared" si="28"/>
        <v>0.32492194706610544</v>
      </c>
      <c r="AF10" s="35">
        <f t="shared" ca="1" si="29"/>
        <v>1.3780434118654288</v>
      </c>
      <c r="AG10" s="35">
        <f t="shared" si="30"/>
        <v>1.9693652877360823</v>
      </c>
      <c r="AH10" s="35">
        <f t="shared" ca="1" si="31"/>
        <v>8.3523778089666418</v>
      </c>
      <c r="AI10" s="35">
        <f t="shared" ca="1" si="32"/>
        <v>10.321743096702724</v>
      </c>
      <c r="AJ10" s="35">
        <f t="shared" ca="1" si="33"/>
        <v>0.190797743102635</v>
      </c>
      <c r="AK10" s="35"/>
      <c r="AL10" s="35">
        <f t="shared" ca="1" si="34"/>
        <v>-50.485848565176816</v>
      </c>
      <c r="AM10" s="35">
        <f t="shared" ca="1" si="35"/>
        <v>0.80920225689736502</v>
      </c>
      <c r="AN10" s="35">
        <f t="shared" ca="1" si="36"/>
        <v>51.295050822074181</v>
      </c>
      <c r="AO10" s="35">
        <f t="shared" ca="1" si="37"/>
        <v>29.50899039985573</v>
      </c>
      <c r="AP10" s="35">
        <f t="shared" ca="1" si="38"/>
        <v>4.5268068848584395</v>
      </c>
      <c r="AQ10" s="35">
        <f t="shared" ca="1" si="39"/>
        <v>19.198876717296933</v>
      </c>
      <c r="AR10" s="35">
        <f t="shared" ca="1" si="40"/>
        <v>65.708123983896826</v>
      </c>
      <c r="AS10" s="35">
        <f t="shared" ca="1" si="41"/>
        <v>0.10783586978907668</v>
      </c>
      <c r="AT10" s="35">
        <f t="shared" ca="1" si="42"/>
        <v>6.8835245455854833E-3</v>
      </c>
      <c r="AU10" s="35">
        <f t="shared" ca="1" si="43"/>
        <v>1.1067200238613632E-4</v>
      </c>
      <c r="AV10" s="35">
        <f t="shared" ca="1" si="44"/>
        <v>0.34863794622089328</v>
      </c>
      <c r="AW10" s="35">
        <f t="shared" ca="1" si="45"/>
        <v>1.9808306120592581E-3</v>
      </c>
      <c r="AX10" s="35">
        <f t="shared" ca="1" si="46"/>
        <v>0.97471888300816545</v>
      </c>
      <c r="AY10" s="35">
        <f t="shared" ca="1" si="47"/>
        <v>0.33982398951468995</v>
      </c>
      <c r="AZ10" s="35">
        <f t="shared" ca="1" si="48"/>
        <v>20.260259136159011</v>
      </c>
      <c r="BA10" s="35">
        <f t="shared" ca="1" si="49"/>
        <v>4.5878460482315226</v>
      </c>
      <c r="BB10" s="35">
        <f t="shared" ca="1" si="50"/>
        <v>31086.625400267571</v>
      </c>
      <c r="BC10" s="35">
        <f t="shared" ca="1" si="51"/>
        <v>2.3595669986710477E-2</v>
      </c>
      <c r="BD10" s="35">
        <f t="shared" ca="1" si="52"/>
        <v>2.3595669986710477E-2</v>
      </c>
      <c r="BE10" s="35">
        <f t="shared" ca="1" si="64"/>
        <v>0.13776464266903365</v>
      </c>
      <c r="BF10" s="35">
        <f t="shared" ca="1" si="53"/>
        <v>13.776464266903366</v>
      </c>
      <c r="BG10" s="35">
        <f t="shared" ca="1" si="54"/>
        <v>175.42405515317486</v>
      </c>
      <c r="BH10" s="35">
        <f t="shared" ca="1" si="69"/>
        <v>4.8575241462764493E-6</v>
      </c>
      <c r="BI10" t="str">
        <f t="shared" ca="1" si="65"/>
        <v>Listo</v>
      </c>
    </row>
    <row r="11" spans="1:196" x14ac:dyDescent="0.25">
      <c r="A11" s="9" t="s">
        <v>14</v>
      </c>
      <c r="B11" s="8">
        <v>230</v>
      </c>
      <c r="C11" t="s">
        <v>15</v>
      </c>
      <c r="D11" s="25" t="s">
        <v>94</v>
      </c>
      <c r="E11" s="23">
        <v>1</v>
      </c>
      <c r="F11" s="26">
        <f t="shared" ca="1" si="67"/>
        <v>1649.1635748892406</v>
      </c>
      <c r="G11" s="38">
        <f ca="1">BG10</f>
        <v>175.42405515317486</v>
      </c>
      <c r="H11" s="38">
        <f ca="1">BG10+20</f>
        <v>195.42405515317486</v>
      </c>
      <c r="I11" s="38">
        <f t="shared" ca="1" si="12"/>
        <v>185.42405515317486</v>
      </c>
      <c r="J11" s="38">
        <f>K10</f>
        <v>67.5</v>
      </c>
      <c r="K11" s="38">
        <f>(400+2400)/40</f>
        <v>70</v>
      </c>
      <c r="L11" s="38">
        <f t="shared" si="13"/>
        <v>68.75</v>
      </c>
      <c r="M11" s="38">
        <f ca="1">CV2*((($I$11/18.2)+1.4)*10^((0.0125*$B$2)-(0.00091*($L$11))))^(1/0.83)</f>
        <v>25.289169160393516</v>
      </c>
      <c r="N11" s="38">
        <f ca="1">0.25+(0.02*$B$2)+((CW1*10^-6)*(0.0874-(3.5864*$B$2)))</f>
        <v>0.70795089910957976</v>
      </c>
      <c r="O11" s="38">
        <f t="shared" ca="1" si="14"/>
        <v>0.69927651471121477</v>
      </c>
      <c r="P11" s="38">
        <f t="shared" ca="1" si="15"/>
        <v>669.15211106966831</v>
      </c>
      <c r="Q11" s="38">
        <f t="shared" ca="1" si="16"/>
        <v>389.15252173081149</v>
      </c>
      <c r="R11" s="38">
        <f t="shared" ca="1" si="17"/>
        <v>0.27710299659186094</v>
      </c>
      <c r="S11" s="38">
        <f t="shared" ca="1" si="18"/>
        <v>1.3587217619670271</v>
      </c>
      <c r="T11" s="38">
        <f t="shared" ca="1" si="19"/>
        <v>0.95983621240272221</v>
      </c>
      <c r="U11" s="38">
        <f t="shared" ca="1" si="63"/>
        <v>7.7374067432203861E-2</v>
      </c>
      <c r="V11" s="38">
        <f t="shared" ca="1" si="20"/>
        <v>0.69047327479259413</v>
      </c>
      <c r="W11" s="38">
        <f t="shared" ca="1" si="21"/>
        <v>5.5672858923719515</v>
      </c>
      <c r="X11" s="38">
        <f t="shared" ca="1" si="22"/>
        <v>1.2865428215256096</v>
      </c>
      <c r="Y11" s="38">
        <f t="shared" ca="1" si="23"/>
        <v>106.20135168221029</v>
      </c>
      <c r="Z11" s="39">
        <f t="shared" ca="1" si="24"/>
        <v>1.0802660706122867E-2</v>
      </c>
      <c r="AA11" s="38">
        <f t="shared" si="25"/>
        <v>1.0010304638457157</v>
      </c>
      <c r="AB11" s="38">
        <v>24</v>
      </c>
      <c r="AC11" s="40">
        <f t="shared" ca="1" si="26"/>
        <v>58.457103271086048</v>
      </c>
      <c r="AD11" s="38">
        <f t="shared" si="27"/>
        <v>0.16498815587413193</v>
      </c>
      <c r="AE11" s="38">
        <f t="shared" si="28"/>
        <v>0.32527697074616285</v>
      </c>
      <c r="AF11" s="38">
        <f t="shared" ca="1" si="29"/>
        <v>1.2444366380901526</v>
      </c>
      <c r="AG11" s="38">
        <f t="shared" si="30"/>
        <v>1.9715171008657972</v>
      </c>
      <c r="AH11" s="38">
        <f t="shared" ca="1" si="31"/>
        <v>7.54258165682828</v>
      </c>
      <c r="AI11" s="38">
        <f t="shared" ca="1" si="32"/>
        <v>9.514098757694077</v>
      </c>
      <c r="AJ11" s="38">
        <f t="shared" ca="1" si="33"/>
        <v>0.2072205840065961</v>
      </c>
      <c r="AK11" s="38"/>
      <c r="AL11" s="38">
        <f t="shared" ca="1" si="34"/>
        <v>-42.733182771772888</v>
      </c>
      <c r="AM11" s="38">
        <f t="shared" ca="1" si="35"/>
        <v>0.79277941599340396</v>
      </c>
      <c r="AN11" s="38">
        <f t="shared" ca="1" si="36"/>
        <v>43.525962187766289</v>
      </c>
      <c r="AO11" s="38">
        <f t="shared" ca="1" si="37"/>
        <v>29.059007543940371</v>
      </c>
      <c r="AP11" s="38">
        <f t="shared" ca="1" si="38"/>
        <v>4.5503358224260619</v>
      </c>
      <c r="AQ11" s="38">
        <f t="shared" ca="1" si="39"/>
        <v>17.408562924241011</v>
      </c>
      <c r="AR11" s="38">
        <f t="shared" ca="1" si="40"/>
        <v>65.977564502048807</v>
      </c>
      <c r="AS11" s="38">
        <f t="shared" ca="1" si="41"/>
        <v>0.10905852183875678</v>
      </c>
      <c r="AT11" s="38">
        <f t="shared" ca="1" si="42"/>
        <v>6.9241908819039147E-3</v>
      </c>
      <c r="AU11" s="38">
        <f t="shared" ca="1" si="43"/>
        <v>1.1903163399118356E-4</v>
      </c>
      <c r="AV11" s="38">
        <f t="shared" ca="1" si="44"/>
        <v>0.36162266156062017</v>
      </c>
      <c r="AW11" s="38">
        <f t="shared" ca="1" si="45"/>
        <v>1.7824643117881137E-3</v>
      </c>
      <c r="AX11" s="38">
        <f t="shared" ca="1" si="46"/>
        <v>0.97471888200466095</v>
      </c>
      <c r="AY11" s="38">
        <f t="shared" ca="1" si="47"/>
        <v>0.35248043638391757</v>
      </c>
      <c r="AZ11" s="38">
        <f t="shared" ca="1" si="48"/>
        <v>21.052080224314416</v>
      </c>
      <c r="BA11" s="38">
        <f t="shared" ca="1" si="49"/>
        <v>4.9818581432040805</v>
      </c>
      <c r="BB11" s="38">
        <f t="shared" ca="1" si="50"/>
        <v>27419.257438531178</v>
      </c>
      <c r="BC11" s="38">
        <f t="shared" ca="1" si="51"/>
        <v>2.4275782664009319E-2</v>
      </c>
      <c r="BD11" s="38">
        <f t="shared" ca="1" si="52"/>
        <v>2.4275782664009319E-2</v>
      </c>
      <c r="BE11" s="38">
        <f t="shared" ca="1" si="64"/>
        <v>0.14158147351084371</v>
      </c>
      <c r="BF11" s="38">
        <f t="shared" ca="1" si="53"/>
        <v>14.158147351084372</v>
      </c>
      <c r="BG11" s="38">
        <f t="shared" ca="1" si="54"/>
        <v>189.58220250425924</v>
      </c>
      <c r="BH11" s="38">
        <f t="shared" ca="1" si="69"/>
        <v>2.9893211684389267E-2</v>
      </c>
      <c r="BI11" t="str">
        <f t="shared" ca="1" si="65"/>
        <v>Repetir</v>
      </c>
    </row>
    <row r="12" spans="1:196" x14ac:dyDescent="0.25">
      <c r="A12" s="9" t="s">
        <v>16</v>
      </c>
      <c r="B12" s="8">
        <v>54</v>
      </c>
      <c r="C12" t="s">
        <v>17</v>
      </c>
      <c r="F12" s="26">
        <f t="shared" ca="1" si="67"/>
        <v>1649.1313075791199</v>
      </c>
      <c r="G12" s="38">
        <f ca="1">BG10</f>
        <v>175.42405515317486</v>
      </c>
      <c r="H12" s="38">
        <f ca="1">BG11</f>
        <v>189.58220250425924</v>
      </c>
      <c r="I12" s="38">
        <f t="shared" ca="1" si="12"/>
        <v>182.50312882871705</v>
      </c>
      <c r="J12" s="38">
        <f>J11</f>
        <v>67.5</v>
      </c>
      <c r="K12" s="38">
        <f>K11</f>
        <v>70</v>
      </c>
      <c r="L12" s="38">
        <f t="shared" ref="L12:L14" si="70">(J12+K12)/2</f>
        <v>68.75</v>
      </c>
      <c r="M12" s="38">
        <f ca="1">CX2*((($I$12/18.2)+1.4)*10^((0.0125*$B$2)-(0.00091*($L$12))))^(1/0.83)</f>
        <v>24.867805348860795</v>
      </c>
      <c r="N12" s="38">
        <f ca="1">0.25+(0.02*$B$2)+((CY1*10^-6)*(0.0874-(3.5864*$B$2)))</f>
        <v>0.70791617620027913</v>
      </c>
      <c r="O12" s="38">
        <f t="shared" ca="1" si="14"/>
        <v>0.69929274852092549</v>
      </c>
      <c r="P12" s="38">
        <f t="shared" ca="1" si="15"/>
        <v>669.15150317279085</v>
      </c>
      <c r="Q12" s="38">
        <f t="shared" ca="1" si="16"/>
        <v>389.15751391762637</v>
      </c>
      <c r="R12" s="38">
        <f t="shared" ca="1" si="17"/>
        <v>0.27273812875466319</v>
      </c>
      <c r="S12" s="38">
        <f t="shared" ca="1" si="18"/>
        <v>1.3587043320251075</v>
      </c>
      <c r="T12" s="38">
        <f t="shared" ca="1" si="19"/>
        <v>0.96044187645347179</v>
      </c>
      <c r="U12" s="38">
        <f t="shared" ca="1" si="63"/>
        <v>7.8662029057546143E-2</v>
      </c>
      <c r="V12" s="38">
        <f t="shared" ca="1" si="20"/>
        <v>0.67918367511107935</v>
      </c>
      <c r="W12" s="38">
        <f t="shared" ca="1" si="21"/>
        <v>5.5672905936832437</v>
      </c>
      <c r="X12" s="38">
        <f t="shared" ca="1" si="22"/>
        <v>1.2865418812633511</v>
      </c>
      <c r="Y12" s="38">
        <f t="shared" ca="1" si="23"/>
        <v>106.20060842999769</v>
      </c>
      <c r="Z12" s="39">
        <f t="shared" ca="1" si="24"/>
        <v>1.0802591535914619E-2</v>
      </c>
      <c r="AA12" s="38">
        <f t="shared" si="25"/>
        <v>1.0010304638457157</v>
      </c>
      <c r="AB12" s="38">
        <v>24</v>
      </c>
      <c r="AC12" s="40">
        <f t="shared" ca="1" si="26"/>
        <v>58.43427033599643</v>
      </c>
      <c r="AD12" s="38">
        <f t="shared" si="27"/>
        <v>0.16498815587413193</v>
      </c>
      <c r="AE12" s="38">
        <f t="shared" si="28"/>
        <v>0.32527697074616285</v>
      </c>
      <c r="AF12" s="38">
        <f t="shared" ca="1" si="29"/>
        <v>1.2670695488188124</v>
      </c>
      <c r="AG12" s="38">
        <f t="shared" si="30"/>
        <v>1.9715171008657972</v>
      </c>
      <c r="AH12" s="38">
        <f t="shared" ca="1" si="31"/>
        <v>7.6797606598224482</v>
      </c>
      <c r="AI12" s="38">
        <f t="shared" ca="1" si="32"/>
        <v>9.6512777606882452</v>
      </c>
      <c r="AJ12" s="38">
        <f t="shared" ca="1" si="33"/>
        <v>0.20427524207169909</v>
      </c>
      <c r="AK12" s="38"/>
      <c r="AL12" s="38">
        <f t="shared" ca="1" si="34"/>
        <v>-44.005470299857947</v>
      </c>
      <c r="AM12" s="38">
        <f t="shared" ca="1" si="35"/>
        <v>0.79572475792830089</v>
      </c>
      <c r="AN12" s="38">
        <f t="shared" ca="1" si="36"/>
        <v>44.801195057786245</v>
      </c>
      <c r="AO12" s="38">
        <f t="shared" ca="1" si="37"/>
        <v>29.118483781285875</v>
      </c>
      <c r="AP12" s="38">
        <f t="shared" ca="1" si="38"/>
        <v>4.547566287229043</v>
      </c>
      <c r="AQ12" s="38">
        <f t="shared" ca="1" si="39"/>
        <v>17.714388911594714</v>
      </c>
      <c r="AR12" s="38">
        <f t="shared" ca="1" si="40"/>
        <v>65.937407644569973</v>
      </c>
      <c r="AS12" s="38">
        <f t="shared" ca="1" si="41"/>
        <v>0.10890204590385905</v>
      </c>
      <c r="AT12" s="38">
        <f t="shared" ca="1" si="42"/>
        <v>6.9190041320922914E-3</v>
      </c>
      <c r="AU12" s="38">
        <f t="shared" ca="1" si="43"/>
        <v>1.1757053833345405E-4</v>
      </c>
      <c r="AV12" s="38">
        <f t="shared" ca="1" si="44"/>
        <v>0.35939462764465879</v>
      </c>
      <c r="AW12" s="38">
        <f t="shared" ca="1" si="45"/>
        <v>1.8158818176735609E-3</v>
      </c>
      <c r="AX12" s="38">
        <f t="shared" ca="1" si="46"/>
        <v>0.97471888215311742</v>
      </c>
      <c r="AY12" s="38">
        <f t="shared" ca="1" si="47"/>
        <v>0.35030872970963767</v>
      </c>
      <c r="AZ12" s="38">
        <f t="shared" ca="1" si="48"/>
        <v>20.911294717555865</v>
      </c>
      <c r="BA12" s="38">
        <f t="shared" ca="1" si="49"/>
        <v>4.9112016992556917</v>
      </c>
      <c r="BB12" s="38">
        <f t="shared" ca="1" si="50"/>
        <v>28026.078980506092</v>
      </c>
      <c r="BC12" s="38">
        <f t="shared" ca="1" si="51"/>
        <v>2.4154924217123921E-2</v>
      </c>
      <c r="BD12" s="38">
        <f t="shared" ca="1" si="52"/>
        <v>2.4154924217123921E-2</v>
      </c>
      <c r="BE12" s="38">
        <f t="shared" ca="1" si="64"/>
        <v>0.14089326336478747</v>
      </c>
      <c r="BF12" s="38">
        <f t="shared" ca="1" si="53"/>
        <v>14.089326336478747</v>
      </c>
      <c r="BG12" s="38">
        <f t="shared" ca="1" si="54"/>
        <v>189.5133814896536</v>
      </c>
      <c r="BH12" s="38">
        <f t="shared" ca="1" si="69"/>
        <v>3.6301411048381561E-4</v>
      </c>
      <c r="BI12" t="str">
        <f t="shared" ca="1" si="65"/>
        <v>Listo</v>
      </c>
    </row>
    <row r="13" spans="1:196" x14ac:dyDescent="0.25">
      <c r="A13" s="9" t="s">
        <v>18</v>
      </c>
      <c r="B13" s="8">
        <v>5000</v>
      </c>
      <c r="C13" t="s">
        <v>19</v>
      </c>
      <c r="F13" s="26">
        <f t="shared" ca="1" si="67"/>
        <v>1649.1372245969292</v>
      </c>
      <c r="G13" s="38">
        <f ca="1">G12</f>
        <v>175.42405515317486</v>
      </c>
      <c r="H13" s="38">
        <f ca="1">BG12</f>
        <v>189.5133814896536</v>
      </c>
      <c r="I13" s="38">
        <f t="shared" ca="1" si="12"/>
        <v>182.46871832141423</v>
      </c>
      <c r="J13" s="38">
        <f>J12</f>
        <v>67.5</v>
      </c>
      <c r="K13" s="38">
        <f>K12</f>
        <v>70</v>
      </c>
      <c r="L13" s="38">
        <f t="shared" si="70"/>
        <v>68.75</v>
      </c>
      <c r="M13" s="38">
        <f ca="1">CZ2*((($I$13/18.2)+1.4)*10^((0.0125*$B$2)-(0.00091*($L$13))))^(1/0.83)</f>
        <v>24.864071447822585</v>
      </c>
      <c r="N13" s="38">
        <f ca="1">0.25+(0.02*$B$2)+((DA1*10^-6)*(0.0874-(3.5864*$B$2)))</f>
        <v>0.70795079701332075</v>
      </c>
      <c r="O13" s="38">
        <f t="shared" ca="1" si="14"/>
        <v>0.69928977159452399</v>
      </c>
      <c r="P13" s="38">
        <f t="shared" ca="1" si="15"/>
        <v>669.15161464929076</v>
      </c>
      <c r="Q13" s="38">
        <f t="shared" ca="1" si="16"/>
        <v>389.15659846001125</v>
      </c>
      <c r="R13" s="38">
        <f t="shared" ca="1" si="17"/>
        <v>0.27268665923648405</v>
      </c>
      <c r="S13" s="38">
        <f t="shared" ca="1" si="18"/>
        <v>1.358707528260845</v>
      </c>
      <c r="T13" s="38">
        <f t="shared" ca="1" si="19"/>
        <v>0.96044932950957795</v>
      </c>
      <c r="U13" s="38">
        <f t="shared" ca="1" si="63"/>
        <v>7.867747391753338E-2</v>
      </c>
      <c r="V13" s="38">
        <f t="shared" ca="1" si="20"/>
        <v>0.67904745652892184</v>
      </c>
      <c r="W13" s="38">
        <f t="shared" ca="1" si="21"/>
        <v>5.5672897315653582</v>
      </c>
      <c r="X13" s="38">
        <f t="shared" ca="1" si="22"/>
        <v>1.2865420536869283</v>
      </c>
      <c r="Y13" s="38">
        <f t="shared" ca="1" si="23"/>
        <v>106.20074472534647</v>
      </c>
      <c r="Z13" s="39">
        <f t="shared" ca="1" si="24"/>
        <v>1.0802604220130891E-2</v>
      </c>
      <c r="AA13" s="38">
        <f t="shared" si="25"/>
        <v>1.0010304638457157</v>
      </c>
      <c r="AB13" s="38">
        <v>24</v>
      </c>
      <c r="AC13" s="40">
        <f t="shared" ca="1" si="26"/>
        <v>58.434134295124011</v>
      </c>
      <c r="AD13" s="38">
        <f t="shared" si="27"/>
        <v>0.16498815587413193</v>
      </c>
      <c r="AE13" s="38">
        <f t="shared" si="28"/>
        <v>0.32527697074616285</v>
      </c>
      <c r="AF13" s="38">
        <f t="shared" ca="1" si="29"/>
        <v>1.2673353318122424</v>
      </c>
      <c r="AG13" s="38">
        <f t="shared" si="30"/>
        <v>1.9715171008657972</v>
      </c>
      <c r="AH13" s="38">
        <f t="shared" ca="1" si="31"/>
        <v>7.6813715814793513</v>
      </c>
      <c r="AI13" s="38">
        <f t="shared" ca="1" si="32"/>
        <v>9.6528886823451483</v>
      </c>
      <c r="AJ13" s="38">
        <f t="shared" ca="1" si="33"/>
        <v>0.20424115161212256</v>
      </c>
      <c r="AK13" s="38"/>
      <c r="AL13" s="38">
        <f t="shared" ca="1" si="34"/>
        <v>-44.020519234140274</v>
      </c>
      <c r="AM13" s="38">
        <f t="shared" ca="1" si="35"/>
        <v>0.79575884838787747</v>
      </c>
      <c r="AN13" s="38">
        <f t="shared" ca="1" si="36"/>
        <v>44.81627808252815</v>
      </c>
      <c r="AO13" s="38">
        <f t="shared" ca="1" si="37"/>
        <v>29.119185176992389</v>
      </c>
      <c r="AP13" s="38">
        <f t="shared" ca="1" si="38"/>
        <v>4.5475362558159143</v>
      </c>
      <c r="AQ13" s="38">
        <f t="shared" ca="1" si="39"/>
        <v>17.717987708973556</v>
      </c>
      <c r="AR13" s="38">
        <f t="shared" ca="1" si="40"/>
        <v>65.936972204291692</v>
      </c>
      <c r="AS13" s="38">
        <f t="shared" ca="1" si="41"/>
        <v>0.1089001419326233</v>
      </c>
      <c r="AT13" s="38">
        <f t="shared" ca="1" si="42"/>
        <v>6.9189409886203845E-3</v>
      </c>
      <c r="AU13" s="38">
        <f t="shared" ca="1" si="43"/>
        <v>1.17553517007344E-4</v>
      </c>
      <c r="AV13" s="38">
        <f t="shared" ca="1" si="44"/>
        <v>0.3593685705360013</v>
      </c>
      <c r="AW13" s="38">
        <f t="shared" ca="1" si="45"/>
        <v>1.8162732187365787E-3</v>
      </c>
      <c r="AX13" s="38">
        <f t="shared" ca="1" si="46"/>
        <v>0.97471888215490299</v>
      </c>
      <c r="AY13" s="38">
        <f t="shared" ca="1" si="47"/>
        <v>0.35028333135445661</v>
      </c>
      <c r="AZ13" s="38">
        <f t="shared" ca="1" si="48"/>
        <v>20.909691677017939</v>
      </c>
      <c r="BA13" s="38">
        <f t="shared" ca="1" si="49"/>
        <v>4.9103839065847428</v>
      </c>
      <c r="BB13" s="38">
        <f t="shared" ca="1" si="50"/>
        <v>28033.276062828761</v>
      </c>
      <c r="BC13" s="38">
        <f t="shared" ca="1" si="51"/>
        <v>2.4153512305419143E-2</v>
      </c>
      <c r="BD13" s="38">
        <f t="shared" ca="1" si="52"/>
        <v>2.415351230541915E-2</v>
      </c>
      <c r="BE13" s="38">
        <f t="shared" ca="1" si="64"/>
        <v>0.14088551070904076</v>
      </c>
      <c r="BF13" s="38">
        <f t="shared" ca="1" si="53"/>
        <v>14.088551070904076</v>
      </c>
      <c r="BG13" s="38">
        <f t="shared" ca="1" si="54"/>
        <v>189.51260622407895</v>
      </c>
      <c r="BH13" s="38">
        <f t="shared" ca="1" si="69"/>
        <v>4.0908223395724999E-6</v>
      </c>
      <c r="BI13" t="str">
        <f t="shared" ca="1" si="65"/>
        <v>Listo</v>
      </c>
    </row>
    <row r="14" spans="1:196" x14ac:dyDescent="0.25">
      <c r="A14" s="9" t="s">
        <v>20</v>
      </c>
      <c r="B14" s="8">
        <v>2487</v>
      </c>
      <c r="C14" t="s">
        <v>4</v>
      </c>
      <c r="D14" s="25" t="s">
        <v>95</v>
      </c>
      <c r="F14" s="26">
        <f t="shared" ca="1" si="67"/>
        <v>1658.0393649641967</v>
      </c>
      <c r="G14" s="46">
        <f ca="1">BG13</f>
        <v>189.51260622407895</v>
      </c>
      <c r="H14" s="46">
        <f ca="1">BG13+20</f>
        <v>209.51260622407895</v>
      </c>
      <c r="I14" s="46">
        <f t="shared" ca="1" si="12"/>
        <v>199.51260622407895</v>
      </c>
      <c r="J14" s="46">
        <f>K13</f>
        <v>70</v>
      </c>
      <c r="K14" s="46">
        <f>(500+2400)/40</f>
        <v>72.5</v>
      </c>
      <c r="L14" s="46">
        <f t="shared" si="70"/>
        <v>71.25</v>
      </c>
      <c r="M14" s="46">
        <f ca="1">DC2*((($I$14/18.2)+1.4)*10^((0.0125*$B$2)-(0.00091*($L$14))))^(1/0.83)</f>
        <v>27.160306097268414</v>
      </c>
      <c r="N14" s="46">
        <f ca="1">0.25+(0.02*$B$2)+((DD1*10^-6)*(0.0874-(3.5864*$B$2)))</f>
        <v>0.7077619962096463</v>
      </c>
      <c r="O14" s="46">
        <f t="shared" ca="1" si="14"/>
        <v>0.6992363034713085</v>
      </c>
      <c r="P14" s="46">
        <f t="shared" ca="1" si="15"/>
        <v>669.15361674861128</v>
      </c>
      <c r="Q14" s="46">
        <f t="shared" ca="1" si="16"/>
        <v>389.1401560270225</v>
      </c>
      <c r="R14" s="46">
        <f t="shared" ca="1" si="17"/>
        <v>0.29815665824762655</v>
      </c>
      <c r="S14" s="46">
        <f t="shared" ca="1" si="18"/>
        <v>1.3651893585690735</v>
      </c>
      <c r="T14" s="46">
        <f t="shared" ca="1" si="19"/>
        <v>0.95754831040310606</v>
      </c>
      <c r="U14" s="46">
        <f t="shared" ca="1" si="63"/>
        <v>7.2078092805166097E-2</v>
      </c>
      <c r="V14" s="46">
        <f t="shared" ca="1" si="20"/>
        <v>0.74116352841926258</v>
      </c>
      <c r="W14" s="46">
        <f t="shared" ca="1" si="21"/>
        <v>5.5584988334852907</v>
      </c>
      <c r="X14" s="46">
        <f t="shared" ca="1" si="22"/>
        <v>1.2883002333029416</v>
      </c>
      <c r="Y14" s="46">
        <f t="shared" ca="1" si="23"/>
        <v>106.71961318053236</v>
      </c>
      <c r="Z14" s="47">
        <f t="shared" ca="1" si="24"/>
        <v>1.0853617431646421E-2</v>
      </c>
      <c r="AA14" s="46">
        <f t="shared" si="25"/>
        <v>1.0021310155003806</v>
      </c>
      <c r="AB14" s="46">
        <v>24</v>
      </c>
      <c r="AC14" s="48">
        <f t="shared" ca="1" si="26"/>
        <v>58.493503680118465</v>
      </c>
      <c r="AD14" s="46">
        <f t="shared" si="27"/>
        <v>0.16498815587413193</v>
      </c>
      <c r="AE14" s="46">
        <f t="shared" si="28"/>
        <v>0.32563458634459708</v>
      </c>
      <c r="AF14" s="46">
        <f t="shared" ca="1" si="29"/>
        <v>1.1514545981457629</v>
      </c>
      <c r="AG14" s="46">
        <f t="shared" si="30"/>
        <v>1.9736846237194199</v>
      </c>
      <c r="AH14" s="46">
        <f t="shared" ca="1" si="31"/>
        <v>6.9790136876503901</v>
      </c>
      <c r="AI14" s="46">
        <f t="shared" ca="1" si="32"/>
        <v>8.9526983113698098</v>
      </c>
      <c r="AJ14" s="46">
        <f t="shared" ca="1" si="33"/>
        <v>0.22045695667113749</v>
      </c>
      <c r="AK14" s="46"/>
      <c r="AL14" s="46">
        <f t="shared" ca="1" si="34"/>
        <v>-37.716176979598295</v>
      </c>
      <c r="AM14" s="46">
        <f t="shared" ca="1" si="35"/>
        <v>0.77954304332886248</v>
      </c>
      <c r="AN14" s="46">
        <f t="shared" ca="1" si="36"/>
        <v>38.495720022927159</v>
      </c>
      <c r="AO14" s="46">
        <f t="shared" ca="1" si="37"/>
        <v>28.671652063683936</v>
      </c>
      <c r="AP14" s="46">
        <f t="shared" ca="1" si="38"/>
        <v>4.5713582745360677</v>
      </c>
      <c r="AQ14" s="46">
        <f t="shared" ca="1" si="39"/>
        <v>16.164473080313421</v>
      </c>
      <c r="AR14" s="46">
        <f t="shared" ca="1" si="40"/>
        <v>66.209587347626723</v>
      </c>
      <c r="AS14" s="46">
        <f t="shared" ca="1" si="41"/>
        <v>0.1101445633998661</v>
      </c>
      <c r="AT14" s="46">
        <f t="shared" ca="1" si="42"/>
        <v>6.9600472568253956E-3</v>
      </c>
      <c r="AU14" s="46">
        <f t="shared" ca="1" si="43"/>
        <v>1.2591543647552921E-4</v>
      </c>
      <c r="AV14" s="46">
        <f t="shared" ca="1" si="44"/>
        <v>0.37189467010009591</v>
      </c>
      <c r="AW14" s="46">
        <f t="shared" ca="1" si="45"/>
        <v>1.6443231579102787E-3</v>
      </c>
      <c r="AX14" s="46">
        <f t="shared" ca="1" si="46"/>
        <v>0.97471888146991492</v>
      </c>
      <c r="AY14" s="46">
        <f t="shared" ca="1" si="47"/>
        <v>0.36249275686458848</v>
      </c>
      <c r="AZ14" s="46">
        <f t="shared" ca="1" si="48"/>
        <v>21.675968525390175</v>
      </c>
      <c r="BA14" s="46">
        <f t="shared" ca="1" si="49"/>
        <v>5.2994278220710926</v>
      </c>
      <c r="BB14" s="46">
        <f t="shared" ca="1" si="50"/>
        <v>24973.985473739394</v>
      </c>
      <c r="BC14" s="46">
        <f t="shared" ca="1" si="51"/>
        <v>2.4802579088216387E-2</v>
      </c>
      <c r="BD14" s="46">
        <f t="shared" ca="1" si="52"/>
        <v>2.4802579088216394E-2</v>
      </c>
      <c r="BE14" s="46">
        <f t="shared" ca="1" si="64"/>
        <v>0.14470916289884059</v>
      </c>
      <c r="BF14" s="46">
        <f t="shared" ca="1" si="53"/>
        <v>14.470916289884059</v>
      </c>
      <c r="BG14" s="46">
        <f t="shared" ca="1" si="54"/>
        <v>203.98352251396301</v>
      </c>
      <c r="BH14" s="46">
        <f t="shared" ca="1" si="69"/>
        <v>2.6390219709273476E-2</v>
      </c>
      <c r="BI14" t="str">
        <f t="shared" ca="1" si="65"/>
        <v>Repetir</v>
      </c>
    </row>
    <row r="15" spans="1:196" x14ac:dyDescent="0.25">
      <c r="A15" s="9" t="s">
        <v>21</v>
      </c>
      <c r="B15" s="8">
        <v>2510</v>
      </c>
      <c r="C15" t="s">
        <v>4</v>
      </c>
      <c r="F15" s="26">
        <f t="shared" ca="1" si="67"/>
        <v>1658.0210746248852</v>
      </c>
      <c r="G15" s="46">
        <f ca="1">G14</f>
        <v>189.51260622407895</v>
      </c>
      <c r="H15" s="46">
        <f ca="1">BG14</f>
        <v>203.98352251396301</v>
      </c>
      <c r="I15" s="46">
        <f t="shared" ca="1" si="12"/>
        <v>196.74806436902099</v>
      </c>
      <c r="J15" s="46">
        <f>J14</f>
        <v>70</v>
      </c>
      <c r="K15" s="46">
        <f>(500+2400)/40</f>
        <v>72.5</v>
      </c>
      <c r="L15" s="46">
        <f t="shared" ref="L15" si="71">(J15+K15)/2</f>
        <v>71.25</v>
      </c>
      <c r="M15" s="46">
        <f ca="1">DE2*((($I$15/18.2)+1.4)*10^((0.0125*$B$2)-(0.00091*($L$15))))^(1/0.83)</f>
        <v>26.759985569041419</v>
      </c>
      <c r="N15" s="46">
        <f ca="1">0.25+(0.02*$B$2)+((DF1*10^-6)*(0.0874-(3.5864*$B$2)))</f>
        <v>0.70779498254110806</v>
      </c>
      <c r="O15" s="46">
        <f t="shared" ca="1" si="14"/>
        <v>0.69924545628713253</v>
      </c>
      <c r="P15" s="46">
        <f t="shared" ca="1" si="15"/>
        <v>669.15327403912443</v>
      </c>
      <c r="Q15" s="46">
        <f t="shared" ca="1" si="16"/>
        <v>389.14297069159056</v>
      </c>
      <c r="R15" s="46">
        <f t="shared" ca="1" si="17"/>
        <v>0.29402540793294751</v>
      </c>
      <c r="S15" s="46">
        <f t="shared" ca="1" si="18"/>
        <v>1.3651794841773828</v>
      </c>
      <c r="T15" s="46">
        <f t="shared" ca="1" si="19"/>
        <v>0.9581099552249942</v>
      </c>
      <c r="U15" s="46">
        <f t="shared" ca="1" si="63"/>
        <v>7.3133745897333166E-2</v>
      </c>
      <c r="V15" s="46">
        <f t="shared" ca="1" si="20"/>
        <v>0.73047472414899195</v>
      </c>
      <c r="W15" s="46">
        <f t="shared" ca="1" si="21"/>
        <v>5.5585014841407538</v>
      </c>
      <c r="X15" s="46">
        <f t="shared" ca="1" si="22"/>
        <v>1.2882997031718491</v>
      </c>
      <c r="Y15" s="46">
        <f t="shared" ca="1" si="23"/>
        <v>106.71919313433442</v>
      </c>
      <c r="Z15" s="47">
        <f t="shared" ca="1" si="24"/>
        <v>1.0853578325676027E-2</v>
      </c>
      <c r="AA15" s="46">
        <f t="shared" si="25"/>
        <v>1.0021310155003806</v>
      </c>
      <c r="AB15" s="46">
        <v>24</v>
      </c>
      <c r="AC15" s="48">
        <f t="shared" ca="1" si="26"/>
        <v>58.47197046852466</v>
      </c>
      <c r="AD15" s="46">
        <f t="shared" si="27"/>
        <v>0.16498815587413193</v>
      </c>
      <c r="AE15" s="46">
        <f t="shared" si="28"/>
        <v>0.32563458634459708</v>
      </c>
      <c r="AF15" s="46">
        <f t="shared" ca="1" si="29"/>
        <v>1.1700130271242948</v>
      </c>
      <c r="AG15" s="46">
        <f t="shared" si="30"/>
        <v>1.9736846237194199</v>
      </c>
      <c r="AH15" s="46">
        <f t="shared" ca="1" si="31"/>
        <v>7.0914970891418889</v>
      </c>
      <c r="AI15" s="46">
        <f t="shared" ca="1" si="32"/>
        <v>9.0651817128613086</v>
      </c>
      <c r="AJ15" s="46">
        <f t="shared" ca="1" si="33"/>
        <v>0.21772146287142122</v>
      </c>
      <c r="AK15" s="46"/>
      <c r="AL15" s="46">
        <f t="shared" ca="1" si="34"/>
        <v>-38.696958792114145</v>
      </c>
      <c r="AM15" s="46">
        <f t="shared" ca="1" si="35"/>
        <v>0.78227853712857887</v>
      </c>
      <c r="AN15" s="46">
        <f t="shared" ca="1" si="36"/>
        <v>39.479237329242721</v>
      </c>
      <c r="AO15" s="46">
        <f t="shared" ca="1" si="37"/>
        <v>28.72719057236641</v>
      </c>
      <c r="AP15" s="46">
        <f t="shared" ca="1" si="38"/>
        <v>4.5687266418886923</v>
      </c>
      <c r="AQ15" s="46">
        <f t="shared" ca="1" si="39"/>
        <v>16.415546482285681</v>
      </c>
      <c r="AR15" s="46">
        <f t="shared" ca="1" si="40"/>
        <v>66.171471912088919</v>
      </c>
      <c r="AS15" s="46">
        <f t="shared" ca="1" si="41"/>
        <v>0.10999494175160761</v>
      </c>
      <c r="AT15" s="46">
        <f t="shared" ca="1" si="42"/>
        <v>6.9551222061399057E-3</v>
      </c>
      <c r="AU15" s="46">
        <f t="shared" ca="1" si="43"/>
        <v>1.2454222889336997E-4</v>
      </c>
      <c r="AV15" s="46">
        <f t="shared" ca="1" si="44"/>
        <v>0.36987459939990724</v>
      </c>
      <c r="AW15" s="46">
        <f t="shared" ca="1" si="45"/>
        <v>1.6716952751159196E-3</v>
      </c>
      <c r="AX15" s="46">
        <f t="shared" ca="1" si="46"/>
        <v>0.97471888156628106</v>
      </c>
      <c r="AY15" s="46">
        <f t="shared" ca="1" si="47"/>
        <v>0.36052375584685387</v>
      </c>
      <c r="AZ15" s="46">
        <f t="shared" ca="1" si="48"/>
        <v>21.547655638126436</v>
      </c>
      <c r="BA15" s="46">
        <f t="shared" ca="1" si="49"/>
        <v>5.2338056302893294</v>
      </c>
      <c r="BB15" s="46">
        <f t="shared" ca="1" si="50"/>
        <v>25453.254792623105</v>
      </c>
      <c r="BC15" s="46">
        <f t="shared" ca="1" si="51"/>
        <v>2.4693906578167266E-2</v>
      </c>
      <c r="BD15" s="46">
        <f t="shared" ca="1" si="52"/>
        <v>2.4693906578167266E-2</v>
      </c>
      <c r="BE15" s="46">
        <f t="shared" ca="1" si="64"/>
        <v>0.14406210540212133</v>
      </c>
      <c r="BF15" s="46">
        <f t="shared" ca="1" si="53"/>
        <v>14.406210540212133</v>
      </c>
      <c r="BG15" s="46">
        <f t="shared" ca="1" si="54"/>
        <v>203.91881676429108</v>
      </c>
      <c r="BH15" s="46">
        <f t="shared" ca="1" si="69"/>
        <v>3.1721066914853704E-4</v>
      </c>
      <c r="BI15" t="str">
        <f t="shared" ca="1" si="65"/>
        <v>Listo</v>
      </c>
    </row>
    <row r="16" spans="1:196" x14ac:dyDescent="0.25">
      <c r="A16" s="9" t="s">
        <v>22</v>
      </c>
      <c r="B16" s="8">
        <f>(B12*5.615)</f>
        <v>303.21000000000004</v>
      </c>
      <c r="F16" s="26">
        <f t="shared" ca="1" si="67"/>
        <v>1658.0208598502179</v>
      </c>
      <c r="G16" s="46">
        <f ca="1">G15</f>
        <v>189.51260622407895</v>
      </c>
      <c r="H16" s="46">
        <f ca="1">BG15</f>
        <v>203.91881676429108</v>
      </c>
      <c r="I16" s="46">
        <f t="shared" ca="1" si="12"/>
        <v>196.71571149418503</v>
      </c>
      <c r="J16" s="46">
        <f>J15</f>
        <v>70</v>
      </c>
      <c r="K16" s="46">
        <f>(500+2400)/40</f>
        <v>72.5</v>
      </c>
      <c r="L16" s="46">
        <f t="shared" ref="L16" si="72">(J16+K16)/2</f>
        <v>71.25</v>
      </c>
      <c r="M16" s="46">
        <f ca="1">DH1</f>
        <v>26.755302604867524</v>
      </c>
      <c r="N16" s="46">
        <f ca="1">DH2</f>
        <v>0.70779536841641943</v>
      </c>
      <c r="O16" s="46">
        <f t="shared" ca="1" si="14"/>
        <v>0.69924556376555391</v>
      </c>
      <c r="P16" s="46">
        <f t="shared" ca="1" si="15"/>
        <v>669.15327001476555</v>
      </c>
      <c r="Q16" s="46">
        <f t="shared" ca="1" si="16"/>
        <v>389.14300374323244</v>
      </c>
      <c r="R16" s="46">
        <f t="shared" ca="1" si="17"/>
        <v>0.29397706072607893</v>
      </c>
      <c r="S16" s="46">
        <f t="shared" ca="1" si="18"/>
        <v>1.3651793682266322</v>
      </c>
      <c r="T16" s="46">
        <f t="shared" ca="1" si="19"/>
        <v>0.95811653241947281</v>
      </c>
      <c r="U16" s="46">
        <f t="shared" ca="1" si="63"/>
        <v>7.3146275976425409E-2</v>
      </c>
      <c r="V16" s="46">
        <f t="shared" ca="1" si="20"/>
        <v>0.73034970486954132</v>
      </c>
      <c r="W16" s="46">
        <f t="shared" ca="1" si="21"/>
        <v>5.5585015152665047</v>
      </c>
      <c r="X16" s="46">
        <f t="shared" ca="1" si="22"/>
        <v>1.2882996969466989</v>
      </c>
      <c r="Y16" s="46">
        <f t="shared" ca="1" si="23"/>
        <v>106.71918820189629</v>
      </c>
      <c r="Z16" s="47">
        <f t="shared" ca="1" si="24"/>
        <v>1.0853577866470118E-2</v>
      </c>
      <c r="AA16" s="46">
        <f t="shared" si="25"/>
        <v>1.0021310155003806</v>
      </c>
      <c r="AB16" s="46">
        <v>24</v>
      </c>
      <c r="AC16" s="48">
        <f t="shared" ca="1" si="26"/>
        <v>58.471718560313768</v>
      </c>
      <c r="AD16" s="46">
        <f t="shared" si="27"/>
        <v>0.16498815587413193</v>
      </c>
      <c r="AE16" s="46">
        <f t="shared" si="28"/>
        <v>0.32563458634459708</v>
      </c>
      <c r="AF16" s="46">
        <f t="shared" ca="1" si="29"/>
        <v>1.170233309643723</v>
      </c>
      <c r="AG16" s="46">
        <f t="shared" si="30"/>
        <v>1.9736846237194199</v>
      </c>
      <c r="AH16" s="46">
        <f t="shared" ca="1" si="31"/>
        <v>7.0928322305540776</v>
      </c>
      <c r="AI16" s="46">
        <f t="shared" ca="1" si="32"/>
        <v>9.0665168542734982</v>
      </c>
      <c r="AJ16" s="46">
        <f t="shared" ca="1" si="33"/>
        <v>0.2176894010613486</v>
      </c>
      <c r="AK16" s="46"/>
      <c r="AL16" s="46">
        <f t="shared" ca="1" si="34"/>
        <v>-38.708673892899689</v>
      </c>
      <c r="AM16" s="46">
        <f t="shared" ca="1" si="35"/>
        <v>0.7823105989386514</v>
      </c>
      <c r="AN16" s="46">
        <f t="shared" ca="1" si="36"/>
        <v>39.49098449183834</v>
      </c>
      <c r="AO16" s="46">
        <f t="shared" ca="1" si="37"/>
        <v>28.727841164774052</v>
      </c>
      <c r="AP16" s="46">
        <f t="shared" ca="1" si="38"/>
        <v>4.5686958542468918</v>
      </c>
      <c r="AQ16" s="46">
        <f t="shared" ca="1" si="39"/>
        <v>16.418526454106814</v>
      </c>
      <c r="AR16" s="46">
        <f t="shared" ca="1" si="40"/>
        <v>66.171025997125227</v>
      </c>
      <c r="AS16" s="46">
        <f t="shared" ca="1" si="41"/>
        <v>0.10999319194288254</v>
      </c>
      <c r="AT16" s="46">
        <f t="shared" ca="1" si="42"/>
        <v>6.9550645802787985E-3</v>
      </c>
      <c r="AU16" s="46">
        <f t="shared" ca="1" si="43"/>
        <v>1.2452615117129019E-4</v>
      </c>
      <c r="AV16" s="46">
        <f t="shared" ca="1" si="44"/>
        <v>0.36985086384571852</v>
      </c>
      <c r="AW16" s="46">
        <f t="shared" ca="1" si="45"/>
        <v>1.6720201960743739E-3</v>
      </c>
      <c r="AX16" s="46">
        <f t="shared" ca="1" si="46"/>
        <v>0.97471888156745234</v>
      </c>
      <c r="AY16" s="46">
        <f t="shared" ca="1" si="47"/>
        <v>0.36050062035445485</v>
      </c>
      <c r="AZ16" s="46">
        <f t="shared" ca="1" si="48"/>
        <v>21.546148997372583</v>
      </c>
      <c r="BA16" s="46">
        <f t="shared" ca="1" si="49"/>
        <v>5.233036494473712</v>
      </c>
      <c r="BB16" s="46">
        <f t="shared" ca="1" si="50"/>
        <v>25458.964952130864</v>
      </c>
      <c r="BC16" s="46">
        <f t="shared" ca="1" si="51"/>
        <v>2.4692628723701426E-2</v>
      </c>
      <c r="BD16" s="46">
        <f t="shared" ca="1" si="52"/>
        <v>2.4692628723701426E-2</v>
      </c>
      <c r="BE16" s="46">
        <f t="shared" ca="1" si="64"/>
        <v>0.14405453027766912</v>
      </c>
      <c r="BF16" s="46">
        <f t="shared" ca="1" si="53"/>
        <v>14.405453027766912</v>
      </c>
      <c r="BG16" s="46">
        <f t="shared" ca="1" si="54"/>
        <v>203.91805925184588</v>
      </c>
      <c r="BH16" s="46">
        <f t="shared" ca="1" si="69"/>
        <v>3.7147746207267211E-6</v>
      </c>
      <c r="BI16" t="str">
        <f t="shared" ca="1" si="65"/>
        <v>Listo</v>
      </c>
    </row>
    <row r="17" spans="1:61" x14ac:dyDescent="0.25">
      <c r="A17" s="9" t="s">
        <v>37</v>
      </c>
      <c r="B17" s="8">
        <v>14.7</v>
      </c>
      <c r="C17" t="s">
        <v>4</v>
      </c>
      <c r="D17" s="25" t="s">
        <v>96</v>
      </c>
      <c r="F17" s="26">
        <f t="shared" ca="1" si="67"/>
        <v>1666.967583817293</v>
      </c>
      <c r="G17" s="43">
        <f ca="1">H16</f>
        <v>203.91881676429108</v>
      </c>
      <c r="H17" s="43">
        <f ca="1">G17+20</f>
        <v>223.91881676429108</v>
      </c>
      <c r="I17" s="43">
        <f t="shared" ca="1" si="12"/>
        <v>213.91881676429108</v>
      </c>
      <c r="J17" s="43">
        <f>K16</f>
        <v>72.5</v>
      </c>
      <c r="K17" s="43">
        <f>(600+2400)/40</f>
        <v>75</v>
      </c>
      <c r="L17" s="43">
        <f>(J17+K17)/2</f>
        <v>73.75</v>
      </c>
      <c r="M17" s="43">
        <f ca="1">DL1</f>
        <v>29.078439827548603</v>
      </c>
      <c r="N17" s="43">
        <f ca="1">DL2</f>
        <v>0.7076039423738979</v>
      </c>
      <c r="O17" s="43">
        <f t="shared" ca="1" si="14"/>
        <v>0.6991934136272655</v>
      </c>
      <c r="P17" s="43">
        <f t="shared" ca="1" si="15"/>
        <v>669.15522259216846</v>
      </c>
      <c r="Q17" s="43">
        <f t="shared" ca="1" si="16"/>
        <v>389.12696655811442</v>
      </c>
      <c r="R17" s="43">
        <f t="shared" ca="1" si="17"/>
        <v>0.31968489453854065</v>
      </c>
      <c r="S17" s="43">
        <f t="shared" ca="1" si="18"/>
        <v>1.3716602699656046</v>
      </c>
      <c r="T17" s="43">
        <f t="shared" ca="1" si="19"/>
        <v>0.95529209722075104</v>
      </c>
      <c r="U17" s="43">
        <f t="shared" ca="1" si="63"/>
        <v>6.7381252021028598E-2</v>
      </c>
      <c r="V17" s="43">
        <f t="shared" ca="1" si="20"/>
        <v>0.792778038384506</v>
      </c>
      <c r="W17" s="43">
        <f t="shared" ca="1" si="21"/>
        <v>5.5497932041555424</v>
      </c>
      <c r="X17" s="43">
        <f t="shared" ca="1" si="22"/>
        <v>1.2900413591688913</v>
      </c>
      <c r="Y17" s="43">
        <f t="shared" ca="1" si="23"/>
        <v>107.23748495109882</v>
      </c>
      <c r="Z17" s="44">
        <f t="shared" ca="1" si="24"/>
        <v>1.0904549186268648E-2</v>
      </c>
      <c r="AA17" s="43">
        <f t="shared" si="25"/>
        <v>1.0032393189238376</v>
      </c>
      <c r="AB17" s="43">
        <v>24</v>
      </c>
      <c r="AC17" s="45">
        <f t="shared" ca="1" si="26"/>
        <v>58.531918836399768</v>
      </c>
      <c r="AD17" s="43">
        <f t="shared" si="27"/>
        <v>0.16498815587413193</v>
      </c>
      <c r="AE17" s="43">
        <f t="shared" si="28"/>
        <v>0.32599472081929098</v>
      </c>
      <c r="AF17" s="43">
        <f t="shared" ca="1" si="29"/>
        <v>1.0689425777139883</v>
      </c>
      <c r="AG17" s="43">
        <f t="shared" si="30"/>
        <v>1.9758674135856733</v>
      </c>
      <c r="AH17" s="43">
        <f t="shared" ca="1" si="31"/>
        <v>6.4789049374518468</v>
      </c>
      <c r="AI17" s="43">
        <f t="shared" ca="1" si="32"/>
        <v>8.4547723510375192</v>
      </c>
      <c r="AJ17" s="43">
        <f t="shared" ca="1" si="33"/>
        <v>0.23369847602617078</v>
      </c>
      <c r="AK17" s="43"/>
      <c r="AL17" s="43">
        <f t="shared" ca="1" si="34"/>
        <v>-33.521672006476585</v>
      </c>
      <c r="AM17" s="43">
        <f t="shared" ca="1" si="35"/>
        <v>0.76630152397382933</v>
      </c>
      <c r="AN17" s="43">
        <f t="shared" ca="1" si="36"/>
        <v>34.287973530450415</v>
      </c>
      <c r="AO17" s="43">
        <f t="shared" ca="1" si="37"/>
        <v>28.282810980103051</v>
      </c>
      <c r="AP17" s="43">
        <f t="shared" ca="1" si="38"/>
        <v>4.5928167654246215</v>
      </c>
      <c r="AQ17" s="43">
        <f t="shared" ca="1" si="39"/>
        <v>15.059929129718888</v>
      </c>
      <c r="AR17" s="43">
        <f t="shared" ca="1" si="40"/>
        <v>66.44689618031542</v>
      </c>
      <c r="AS17" s="43">
        <f t="shared" ca="1" si="41"/>
        <v>0.1112600867750496</v>
      </c>
      <c r="AT17" s="43">
        <f t="shared" ca="1" si="42"/>
        <v>6.9966181614972804E-3</v>
      </c>
      <c r="AU17" s="43">
        <f t="shared" ca="1" si="43"/>
        <v>1.3290385387777044E-4</v>
      </c>
      <c r="AV17" s="43">
        <f t="shared" ca="1" si="44"/>
        <v>0.38196003565727793</v>
      </c>
      <c r="AW17" s="43">
        <f t="shared" ca="1" si="45"/>
        <v>1.5218120235571723E-3</v>
      </c>
      <c r="AX17" s="43">
        <f t="shared" ca="1" si="46"/>
        <v>0.97471888109133265</v>
      </c>
      <c r="AY17" s="43">
        <f t="shared" ca="1" si="47"/>
        <v>0.37230365857746744</v>
      </c>
      <c r="AZ17" s="43">
        <f t="shared" ca="1" si="48"/>
        <v>22.289271400605099</v>
      </c>
      <c r="BA17" s="43">
        <f t="shared" ca="1" si="49"/>
        <v>5.6171195972877834</v>
      </c>
      <c r="BB17" s="43">
        <f t="shared" ca="1" si="50"/>
        <v>22880.657210103818</v>
      </c>
      <c r="BC17" s="43">
        <f t="shared" ca="1" si="51"/>
        <v>2.5312992502995606E-2</v>
      </c>
      <c r="BD17" s="43">
        <f t="shared" ca="1" si="52"/>
        <v>2.5312992502995606E-2</v>
      </c>
      <c r="BE17" s="43">
        <f t="shared" ca="1" si="64"/>
        <v>0.14786755615294309</v>
      </c>
      <c r="BF17" s="43">
        <f t="shared" ca="1" si="53"/>
        <v>14.786755615294309</v>
      </c>
      <c r="BG17" s="43">
        <f t="shared" ca="1" si="54"/>
        <v>218.70557237958539</v>
      </c>
      <c r="BH17" s="43">
        <f t="shared" ca="1" si="69"/>
        <v>2.3281850360050038E-2</v>
      </c>
      <c r="BI17" t="str">
        <f t="shared" ca="1" si="65"/>
        <v>Repetir</v>
      </c>
    </row>
    <row r="18" spans="1:61" x14ac:dyDescent="0.25">
      <c r="A18" s="7" t="s">
        <v>39</v>
      </c>
      <c r="B18" s="8">
        <v>7.6399999999999996E-2</v>
      </c>
      <c r="C18" t="s">
        <v>40</v>
      </c>
      <c r="F18" s="26">
        <f t="shared" ca="1" si="67"/>
        <v>1666.9507806354864</v>
      </c>
      <c r="G18" s="43">
        <f ca="1">G17</f>
        <v>203.91881676429108</v>
      </c>
      <c r="H18" s="43">
        <f ca="1">BG17</f>
        <v>218.70557237958539</v>
      </c>
      <c r="I18" s="43">
        <f t="shared" ca="1" si="12"/>
        <v>211.31219457193822</v>
      </c>
      <c r="J18" s="43">
        <f>J17</f>
        <v>72.5</v>
      </c>
      <c r="K18" s="43">
        <f>(600+2400)/40</f>
        <v>75</v>
      </c>
      <c r="L18" s="43">
        <f t="shared" ref="L18:L20" si="73">(J18+K18)/2</f>
        <v>73.75</v>
      </c>
      <c r="M18" s="43">
        <f ca="1">DN1</f>
        <v>28.698679661309438</v>
      </c>
      <c r="N18" s="43">
        <f ca="1">DN2</f>
        <v>0.70763523453564403</v>
      </c>
      <c r="O18" s="43">
        <f t="shared" ca="1" si="14"/>
        <v>0.6992017773627438</v>
      </c>
      <c r="P18" s="43">
        <f t="shared" ca="1" si="15"/>
        <v>669.15490945542047</v>
      </c>
      <c r="Q18" s="43">
        <f t="shared" ca="1" si="16"/>
        <v>389.12953857455147</v>
      </c>
      <c r="R18" s="43">
        <f t="shared" ca="1" si="17"/>
        <v>0.31578964987929448</v>
      </c>
      <c r="S18" s="43">
        <f t="shared" ca="1" si="18"/>
        <v>1.3716512037488036</v>
      </c>
      <c r="T18" s="43">
        <f t="shared" ca="1" si="19"/>
        <v>0.95581030019874191</v>
      </c>
      <c r="U18" s="43">
        <f t="shared" ca="1" si="63"/>
        <v>6.8249429446892357E-2</v>
      </c>
      <c r="V18" s="43">
        <f t="shared" ca="1" si="20"/>
        <v>0.78270274526003369</v>
      </c>
      <c r="W18" s="43">
        <f t="shared" ca="1" si="21"/>
        <v>5.5497956262933368</v>
      </c>
      <c r="X18" s="43">
        <f t="shared" ca="1" si="22"/>
        <v>1.2900408747413326</v>
      </c>
      <c r="Y18" s="43">
        <f t="shared" ca="1" si="23"/>
        <v>107.23710021871779</v>
      </c>
      <c r="Z18" s="44">
        <f t="shared" ca="1" si="24"/>
        <v>1.090451335477227E-2</v>
      </c>
      <c r="AA18" s="43">
        <f t="shared" si="25"/>
        <v>1.0032393189238376</v>
      </c>
      <c r="AB18" s="43">
        <v>24</v>
      </c>
      <c r="AC18" s="45">
        <f t="shared" ca="1" si="26"/>
        <v>58.511523322498405</v>
      </c>
      <c r="AD18" s="43">
        <f t="shared" si="27"/>
        <v>0.16498815587413193</v>
      </c>
      <c r="AE18" s="43">
        <f t="shared" si="28"/>
        <v>0.32599472081929098</v>
      </c>
      <c r="AF18" s="43">
        <f t="shared" ca="1" si="29"/>
        <v>1.0842153350595332</v>
      </c>
      <c r="AG18" s="43">
        <f t="shared" si="30"/>
        <v>1.9758674135856733</v>
      </c>
      <c r="AH18" s="43">
        <f t="shared" ca="1" si="31"/>
        <v>6.5714737480105656</v>
      </c>
      <c r="AI18" s="43">
        <f t="shared" ca="1" si="32"/>
        <v>8.5473411615962398</v>
      </c>
      <c r="AJ18" s="43">
        <f t="shared" ca="1" si="33"/>
        <v>0.23116749129698652</v>
      </c>
      <c r="AK18" s="43"/>
      <c r="AL18" s="43">
        <f t="shared" ca="1" si="34"/>
        <v>-34.28330871381813</v>
      </c>
      <c r="AM18" s="43">
        <f t="shared" ca="1" si="35"/>
        <v>0.76883250870301334</v>
      </c>
      <c r="AN18" s="43">
        <f t="shared" ca="1" si="36"/>
        <v>35.052141222521144</v>
      </c>
      <c r="AO18" s="43">
        <f t="shared" ca="1" si="37"/>
        <v>28.334463911593531</v>
      </c>
      <c r="AP18" s="43">
        <f t="shared" ca="1" si="38"/>
        <v>4.5903222261594125</v>
      </c>
      <c r="AQ18" s="43">
        <f t="shared" ca="1" si="39"/>
        <v>15.266804744440938</v>
      </c>
      <c r="AR18" s="43">
        <f t="shared" ca="1" si="40"/>
        <v>66.410806259894287</v>
      </c>
      <c r="AS18" s="43">
        <f t="shared" ca="1" si="41"/>
        <v>0.1111176151066094</v>
      </c>
      <c r="AT18" s="43">
        <f t="shared" ca="1" si="42"/>
        <v>6.9919619697214842E-3</v>
      </c>
      <c r="AU18" s="43">
        <f t="shared" ca="1" si="43"/>
        <v>1.3161609853337103E-4</v>
      </c>
      <c r="AV18" s="43">
        <f t="shared" ca="1" si="44"/>
        <v>0.38013174255381815</v>
      </c>
      <c r="AW18" s="43">
        <f t="shared" ca="1" si="45"/>
        <v>1.5443136542342231E-3</v>
      </c>
      <c r="AX18" s="43">
        <f t="shared" ca="1" si="46"/>
        <v>0.97471888115471583</v>
      </c>
      <c r="AY18" s="43">
        <f t="shared" ca="1" si="47"/>
        <v>0.3705215867934501</v>
      </c>
      <c r="AZ18" s="43">
        <f t="shared" ca="1" si="48"/>
        <v>22.172476949252768</v>
      </c>
      <c r="BA18" s="43">
        <f t="shared" ca="1" si="49"/>
        <v>5.5564035354864112</v>
      </c>
      <c r="BB18" s="43">
        <f t="shared" ca="1" si="50"/>
        <v>23261.399850581183</v>
      </c>
      <c r="BC18" s="43">
        <f t="shared" ca="1" si="51"/>
        <v>2.5215505701036884E-2</v>
      </c>
      <c r="BD18" s="43">
        <f t="shared" ca="1" si="52"/>
        <v>2.5215505701036884E-2</v>
      </c>
      <c r="BE18" s="43">
        <f t="shared" ca="1" si="64"/>
        <v>0.14726341002397367</v>
      </c>
      <c r="BF18" s="43">
        <f t="shared" ca="1" si="53"/>
        <v>14.726341002397367</v>
      </c>
      <c r="BG18" s="43">
        <f t="shared" ca="1" si="54"/>
        <v>218.64515776668844</v>
      </c>
      <c r="BH18" s="43">
        <f t="shared" ca="1" si="69"/>
        <v>2.7623719066514381E-4</v>
      </c>
      <c r="BI18" t="str">
        <f t="shared" ca="1" si="65"/>
        <v>Listo</v>
      </c>
    </row>
    <row r="19" spans="1:61" x14ac:dyDescent="0.25">
      <c r="A19" s="7" t="s">
        <v>42</v>
      </c>
      <c r="B19" s="8">
        <f>141.5/(B2+131.5)</f>
        <v>0.91585760517799353</v>
      </c>
      <c r="F19" s="26">
        <f t="shared" ca="1" si="67"/>
        <v>1666.9505851888596</v>
      </c>
      <c r="G19" s="43">
        <f ca="1">G18</f>
        <v>203.91881676429108</v>
      </c>
      <c r="H19" s="43">
        <f ca="1">BG18</f>
        <v>218.64515776668844</v>
      </c>
      <c r="I19" s="43">
        <f t="shared" ca="1" si="12"/>
        <v>211.28198726548976</v>
      </c>
      <c r="J19" s="43">
        <f>J18</f>
        <v>72.5</v>
      </c>
      <c r="K19" s="43">
        <f>(600+2400)/40</f>
        <v>75</v>
      </c>
      <c r="L19" s="43">
        <f t="shared" si="73"/>
        <v>73.75</v>
      </c>
      <c r="M19" s="43">
        <f ca="1">DP1</f>
        <v>28.694279303963818</v>
      </c>
      <c r="N19" s="43">
        <f ca="1">DP2</f>
        <v>0.7076355971242092</v>
      </c>
      <c r="O19" s="43">
        <f t="shared" ca="1" si="14"/>
        <v>0.69920187464681771</v>
      </c>
      <c r="P19" s="43">
        <f t="shared" ca="1" si="15"/>
        <v>669.15490581309132</v>
      </c>
      <c r="Q19" s="43">
        <f t="shared" ca="1" si="16"/>
        <v>389.12956849134548</v>
      </c>
      <c r="R19" s="43">
        <f t="shared" ca="1" si="17"/>
        <v>0.31574450912641916</v>
      </c>
      <c r="S19" s="43">
        <f t="shared" ca="1" si="18"/>
        <v>1.3716510982944514</v>
      </c>
      <c r="T19" s="43">
        <f t="shared" ca="1" si="19"/>
        <v>0.95581630928277106</v>
      </c>
      <c r="U19" s="43">
        <f t="shared" ca="1" si="63"/>
        <v>6.8259616310125878E-2</v>
      </c>
      <c r="V19" s="43">
        <f t="shared" ca="1" si="20"/>
        <v>0.78258604590328618</v>
      </c>
      <c r="W19" s="43">
        <f t="shared" ca="1" si="21"/>
        <v>5.5497956544668048</v>
      </c>
      <c r="X19" s="43">
        <f t="shared" ca="1" si="22"/>
        <v>1.290040869106639</v>
      </c>
      <c r="Y19" s="43">
        <f t="shared" ca="1" si="23"/>
        <v>107.23709574366246</v>
      </c>
      <c r="Z19" s="44">
        <f t="shared" ca="1" si="24"/>
        <v>1.09045129379946E-2</v>
      </c>
      <c r="AA19" s="43">
        <f t="shared" si="25"/>
        <v>1.0032393189238376</v>
      </c>
      <c r="AB19" s="43">
        <v>24</v>
      </c>
      <c r="AC19" s="45">
        <f t="shared" ca="1" si="26"/>
        <v>58.511286984973502</v>
      </c>
      <c r="AD19" s="43">
        <f t="shared" si="27"/>
        <v>0.16498815587413193</v>
      </c>
      <c r="AE19" s="43">
        <f t="shared" si="28"/>
        <v>0.32599472081929098</v>
      </c>
      <c r="AF19" s="43">
        <f t="shared" ca="1" si="29"/>
        <v>1.084394546632472</v>
      </c>
      <c r="AG19" s="43">
        <f t="shared" si="30"/>
        <v>1.9758674135856733</v>
      </c>
      <c r="AH19" s="43">
        <f t="shared" ca="1" si="31"/>
        <v>6.5725599567265149</v>
      </c>
      <c r="AI19" s="43">
        <f t="shared" ca="1" si="32"/>
        <v>8.5484273703121882</v>
      </c>
      <c r="AJ19" s="43">
        <f t="shared" ca="1" si="33"/>
        <v>0.23113811792419953</v>
      </c>
      <c r="AK19" s="43"/>
      <c r="AL19" s="43">
        <f t="shared" ca="1" si="34"/>
        <v>-34.292295040126312</v>
      </c>
      <c r="AM19" s="43">
        <f t="shared" ca="1" si="35"/>
        <v>0.76886188207580053</v>
      </c>
      <c r="AN19" s="43">
        <f t="shared" ca="1" si="36"/>
        <v>35.061156922202116</v>
      </c>
      <c r="AO19" s="43">
        <f t="shared" ca="1" si="37"/>
        <v>28.335063053412071</v>
      </c>
      <c r="AP19" s="43">
        <f t="shared" ca="1" si="38"/>
        <v>4.5902933252549092</v>
      </c>
      <c r="AQ19" s="43">
        <f t="shared" ca="1" si="39"/>
        <v>15.269232080936515</v>
      </c>
      <c r="AR19" s="43">
        <f t="shared" ca="1" si="40"/>
        <v>66.410388134047082</v>
      </c>
      <c r="AS19" s="43">
        <f t="shared" ca="1" si="41"/>
        <v>0.1111159651285781</v>
      </c>
      <c r="AT19" s="43">
        <f t="shared" ca="1" si="42"/>
        <v>6.9919080210186267E-3</v>
      </c>
      <c r="AU19" s="43">
        <f t="shared" ca="1" si="43"/>
        <v>1.3160117062771613E-4</v>
      </c>
      <c r="AV19" s="43">
        <f t="shared" ca="1" si="44"/>
        <v>0.38011047972736789</v>
      </c>
      <c r="AW19" s="43">
        <f t="shared" ca="1" si="45"/>
        <v>1.5445777088099017E-3</v>
      </c>
      <c r="AX19" s="43">
        <f t="shared" ca="1" si="46"/>
        <v>0.97471888115547545</v>
      </c>
      <c r="AY19" s="43">
        <f t="shared" ca="1" si="47"/>
        <v>0.37050086151533107</v>
      </c>
      <c r="AZ19" s="43">
        <f t="shared" ca="1" si="48"/>
        <v>22.171119477989702</v>
      </c>
      <c r="BA19" s="43">
        <f t="shared" ca="1" si="49"/>
        <v>5.5556988945214147</v>
      </c>
      <c r="BB19" s="43">
        <f t="shared" ca="1" si="50"/>
        <v>23265.882110416445</v>
      </c>
      <c r="BC19" s="43">
        <f t="shared" ca="1" si="51"/>
        <v>2.5214371077010852E-2</v>
      </c>
      <c r="BD19" s="43">
        <f t="shared" ca="1" si="52"/>
        <v>2.5214371077010859E-2</v>
      </c>
      <c r="BE19" s="43">
        <f t="shared" ca="1" si="64"/>
        <v>0.14725640404190976</v>
      </c>
      <c r="BF19" s="43">
        <f t="shared" ca="1" si="53"/>
        <v>14.725640404190976</v>
      </c>
      <c r="BG19" s="43">
        <f t="shared" ca="1" si="54"/>
        <v>218.64445716848206</v>
      </c>
      <c r="BH19" s="43">
        <f t="shared" ca="1" si="69"/>
        <v>3.2042703965408324E-6</v>
      </c>
      <c r="BI19" t="str">
        <f t="shared" ca="1" si="65"/>
        <v>Listo</v>
      </c>
    </row>
    <row r="20" spans="1:61" ht="14.25" customHeight="1" x14ac:dyDescent="0.25">
      <c r="A20" s="7" t="s">
        <v>44</v>
      </c>
      <c r="B20" s="8">
        <v>24</v>
      </c>
      <c r="C20" t="s">
        <v>45</v>
      </c>
      <c r="D20" s="25" t="s">
        <v>97</v>
      </c>
      <c r="F20" s="26">
        <f t="shared" ca="1" si="67"/>
        <v>1675.9418623727024</v>
      </c>
      <c r="G20" s="50">
        <f ca="1">H19</f>
        <v>218.64515776668844</v>
      </c>
      <c r="H20" s="50">
        <f ca="1">G20+20</f>
        <v>238.64515776668844</v>
      </c>
      <c r="I20" s="50">
        <f t="shared" ca="1" si="12"/>
        <v>228.64515776668844</v>
      </c>
      <c r="J20" s="50">
        <f>K19</f>
        <v>75</v>
      </c>
      <c r="K20" s="50">
        <f>(700+2400)/40</f>
        <v>77.5</v>
      </c>
      <c r="L20" s="50">
        <f t="shared" si="73"/>
        <v>76.25</v>
      </c>
      <c r="M20" s="50">
        <f ca="1">DR1</f>
        <v>31.043170423993484</v>
      </c>
      <c r="N20" s="50">
        <f ca="1">DR2</f>
        <v>0.70744204896569696</v>
      </c>
      <c r="O20" s="50">
        <f t="shared" ca="1" si="14"/>
        <v>0.69915116476645689</v>
      </c>
      <c r="P20" s="50">
        <f t="shared" ca="1" si="15"/>
        <v>669.15680430171085</v>
      </c>
      <c r="Q20" s="50">
        <f t="shared" ca="1" si="16"/>
        <v>389.11397415916986</v>
      </c>
      <c r="R20" s="50">
        <f t="shared" ca="1" si="17"/>
        <v>0.34169144854663458</v>
      </c>
      <c r="S20" s="50">
        <f t="shared" ca="1" si="18"/>
        <v>1.3781309220743716</v>
      </c>
      <c r="T20" s="50">
        <f t="shared" ca="1" si="19"/>
        <v>0.9530684041270191</v>
      </c>
      <c r="U20" s="50">
        <f t="shared" ca="1" si="63"/>
        <v>6.318927319491198E-2</v>
      </c>
      <c r="V20" s="50">
        <f t="shared" ca="1" si="20"/>
        <v>0.84531988243312006</v>
      </c>
      <c r="W20" s="50">
        <f t="shared" ca="1" si="21"/>
        <v>5.5411688160110044</v>
      </c>
      <c r="X20" s="50">
        <f t="shared" ca="1" si="22"/>
        <v>1.2917662367977989</v>
      </c>
      <c r="Y20" s="50">
        <f t="shared" ca="1" si="23"/>
        <v>107.75481401912604</v>
      </c>
      <c r="Z20" s="51">
        <f t="shared" ca="1" si="24"/>
        <v>1.0955441387429004E-2</v>
      </c>
      <c r="AA20" s="50">
        <f t="shared" si="25"/>
        <v>1.0043551631018783</v>
      </c>
      <c r="AB20" s="50">
        <v>24</v>
      </c>
      <c r="AC20" s="52">
        <f t="shared" ca="1" si="26"/>
        <v>58.572261858032327</v>
      </c>
      <c r="AD20" s="50">
        <f t="shared" si="27"/>
        <v>0.16498815587413193</v>
      </c>
      <c r="AE20" s="50">
        <f t="shared" si="28"/>
        <v>0.32635730560283838</v>
      </c>
      <c r="AF20" s="50">
        <f t="shared" ca="1" si="29"/>
        <v>0.9952560271221832</v>
      </c>
      <c r="AG20" s="50">
        <f t="shared" si="30"/>
        <v>1.9780650548746881</v>
      </c>
      <c r="AH20" s="50">
        <f t="shared" ca="1" si="31"/>
        <v>6.032287723013618</v>
      </c>
      <c r="AI20" s="50">
        <f t="shared" ca="1" si="32"/>
        <v>8.0103527778883059</v>
      </c>
      <c r="AJ20" s="50">
        <f t="shared" ca="1" si="33"/>
        <v>0.24693856933928282</v>
      </c>
      <c r="AK20" s="50"/>
      <c r="AL20" s="50">
        <f t="shared" ca="1" si="34"/>
        <v>-29.980569607601453</v>
      </c>
      <c r="AM20" s="50">
        <f t="shared" ca="1" si="35"/>
        <v>0.75306143066071718</v>
      </c>
      <c r="AN20" s="50">
        <f t="shared" ca="1" si="36"/>
        <v>30.733631038262171</v>
      </c>
      <c r="AO20" s="50">
        <f t="shared" ca="1" si="37"/>
        <v>27.892635199788522</v>
      </c>
      <c r="AP20" s="50">
        <f t="shared" ca="1" si="38"/>
        <v>4.6147157527994507</v>
      </c>
      <c r="AQ20" s="50">
        <f t="shared" ca="1" si="39"/>
        <v>14.072991741200941</v>
      </c>
      <c r="AR20" s="50">
        <f t="shared" ca="1" si="40"/>
        <v>66.68954643808874</v>
      </c>
      <c r="AS20" s="50">
        <f t="shared" ca="1" si="41"/>
        <v>0.11240596389089111</v>
      </c>
      <c r="AT20" s="50">
        <f t="shared" ca="1" si="42"/>
        <v>7.0339130166321429E-3</v>
      </c>
      <c r="AU20" s="50">
        <f t="shared" ca="1" si="43"/>
        <v>1.400059373675913E-4</v>
      </c>
      <c r="AV20" s="50">
        <f t="shared" ca="1" si="44"/>
        <v>0.39183713591874003</v>
      </c>
      <c r="AW20" s="50">
        <f t="shared" ca="1" si="45"/>
        <v>1.4124782002614981E-3</v>
      </c>
      <c r="AX20" s="50">
        <f t="shared" ca="1" si="46"/>
        <v>0.97471888081925273</v>
      </c>
      <c r="AY20" s="50">
        <f t="shared" ca="1" si="47"/>
        <v>0.38193105458613569</v>
      </c>
      <c r="AZ20" s="50">
        <f t="shared" ca="1" si="48"/>
        <v>22.89303170920639</v>
      </c>
      <c r="BA20" s="50">
        <f t="shared" ca="1" si="49"/>
        <v>5.9347757845075249</v>
      </c>
      <c r="BB20" s="50">
        <f t="shared" ca="1" si="50"/>
        <v>21073.419445118325</v>
      </c>
      <c r="BC20" s="50">
        <f t="shared" ca="1" si="51"/>
        <v>2.5807994246779889E-2</v>
      </c>
      <c r="BD20" s="50">
        <f t="shared" ca="1" si="52"/>
        <v>2.5807994246779889E-2</v>
      </c>
      <c r="BE20" s="50">
        <f t="shared" ca="1" si="64"/>
        <v>0.1510463470779167</v>
      </c>
      <c r="BF20" s="50">
        <f t="shared" ca="1" si="53"/>
        <v>15.10463470779167</v>
      </c>
      <c r="BG20" s="50">
        <f t="shared" ca="1" si="54"/>
        <v>233.7497924744801</v>
      </c>
      <c r="BH20" s="50">
        <f t="shared" ca="1" si="69"/>
        <v>2.0513155758200195E-2</v>
      </c>
      <c r="BI20" t="str">
        <f t="shared" ca="1" si="65"/>
        <v>Repetir</v>
      </c>
    </row>
    <row r="21" spans="1:61" ht="21.75" customHeight="1" x14ac:dyDescent="0.25">
      <c r="A21" s="16" t="s">
        <v>47</v>
      </c>
      <c r="B21" s="8">
        <v>5000</v>
      </c>
      <c r="C21" t="s">
        <v>19</v>
      </c>
      <c r="F21" s="26">
        <f t="shared" ca="1" si="67"/>
        <v>1675.9265482833659</v>
      </c>
      <c r="G21" s="50">
        <f ca="1">G20</f>
        <v>218.64515776668844</v>
      </c>
      <c r="H21" s="50">
        <f ca="1">BG20</f>
        <v>233.7497924744801</v>
      </c>
      <c r="I21" s="50">
        <f t="shared" ca="1" si="12"/>
        <v>226.19747512058427</v>
      </c>
      <c r="J21" s="50">
        <f t="shared" ref="J21:L22" si="74">J20</f>
        <v>75</v>
      </c>
      <c r="K21" s="50">
        <f t="shared" si="74"/>
        <v>77.5</v>
      </c>
      <c r="L21" s="50">
        <f t="shared" si="74"/>
        <v>76.25</v>
      </c>
      <c r="M21" s="50">
        <f ca="1">DT1</f>
        <v>30.684600318517774</v>
      </c>
      <c r="N21" s="50">
        <f ca="1">DT2</f>
        <v>0.70747159507067414</v>
      </c>
      <c r="O21" s="50">
        <f t="shared" ca="1" si="14"/>
        <v>0.69915874663883293</v>
      </c>
      <c r="P21" s="50">
        <f t="shared" ca="1" si="15"/>
        <v>669.15652046202308</v>
      </c>
      <c r="Q21" s="50">
        <f t="shared" ca="1" si="16"/>
        <v>389.11630574510087</v>
      </c>
      <c r="R21" s="50">
        <f t="shared" ca="1" si="17"/>
        <v>0.33803373082938037</v>
      </c>
      <c r="S21" s="50">
        <f t="shared" ca="1" si="18"/>
        <v>1.3781226643102493</v>
      </c>
      <c r="T21" s="50">
        <f t="shared" ca="1" si="19"/>
        <v>0.95354446503849521</v>
      </c>
      <c r="U21" s="50">
        <f t="shared" ca="1" si="63"/>
        <v>6.3904949058281951E-2</v>
      </c>
      <c r="V21" s="50">
        <f t="shared" ca="1" si="20"/>
        <v>0.83586215199844938</v>
      </c>
      <c r="W21" s="50">
        <f t="shared" ca="1" si="21"/>
        <v>5.5411710117212447</v>
      </c>
      <c r="X21" s="50">
        <f t="shared" ca="1" si="22"/>
        <v>1.2917657976557508</v>
      </c>
      <c r="Y21" s="50">
        <f t="shared" ca="1" si="23"/>
        <v>107.75446444391964</v>
      </c>
      <c r="Z21" s="51">
        <f t="shared" ca="1" si="24"/>
        <v>1.0955408818450082E-2</v>
      </c>
      <c r="AA21" s="50">
        <f t="shared" si="25"/>
        <v>1.0043551631018783</v>
      </c>
      <c r="AB21" s="50">
        <v>24</v>
      </c>
      <c r="AC21" s="52">
        <f t="shared" ca="1" si="26"/>
        <v>58.553034658302565</v>
      </c>
      <c r="AD21" s="50">
        <f t="shared" si="27"/>
        <v>0.16498815587413193</v>
      </c>
      <c r="AE21" s="50">
        <f t="shared" si="28"/>
        <v>0.32635730560283838</v>
      </c>
      <c r="AF21" s="50">
        <f t="shared" ca="1" si="29"/>
        <v>1.007854269891959</v>
      </c>
      <c r="AG21" s="50">
        <f t="shared" si="30"/>
        <v>1.9780650548746881</v>
      </c>
      <c r="AH21" s="50">
        <f t="shared" ca="1" si="31"/>
        <v>6.1086461907050014</v>
      </c>
      <c r="AI21" s="50">
        <f t="shared" ca="1" si="32"/>
        <v>8.0867112455796892</v>
      </c>
      <c r="AJ21" s="50">
        <f t="shared" ca="1" si="33"/>
        <v>0.24460686115828933</v>
      </c>
      <c r="AK21" s="50"/>
      <c r="AL21" s="50">
        <f t="shared" ca="1" si="34"/>
        <v>-30.575387670299641</v>
      </c>
      <c r="AM21" s="50">
        <f t="shared" ca="1" si="35"/>
        <v>0.75539313884171067</v>
      </c>
      <c r="AN21" s="50">
        <f t="shared" ca="1" si="36"/>
        <v>31.330780809141352</v>
      </c>
      <c r="AO21" s="50">
        <f t="shared" ca="1" si="37"/>
        <v>27.94046678827209</v>
      </c>
      <c r="AP21" s="50">
        <f t="shared" ca="1" si="38"/>
        <v>4.612360891777965</v>
      </c>
      <c r="AQ21" s="50">
        <f t="shared" ca="1" si="39"/>
        <v>14.243859534488926</v>
      </c>
      <c r="AR21" s="50">
        <f t="shared" ca="1" si="40"/>
        <v>66.655515173356491</v>
      </c>
      <c r="AS21" s="50">
        <f t="shared" ca="1" si="41"/>
        <v>0.11227082601167036</v>
      </c>
      <c r="AT21" s="50">
        <f t="shared" ca="1" si="42"/>
        <v>7.029528912994216E-3</v>
      </c>
      <c r="AU21" s="50">
        <f t="shared" ca="1" si="43"/>
        <v>1.3880162091141782E-4</v>
      </c>
      <c r="AV21" s="50">
        <f t="shared" ca="1" si="44"/>
        <v>0.39018632032695699</v>
      </c>
      <c r="AW21" s="50">
        <f t="shared" ca="1" si="45"/>
        <v>1.4310181521939361E-3</v>
      </c>
      <c r="AX21" s="50">
        <f t="shared" ca="1" si="46"/>
        <v>0.97471888086139213</v>
      </c>
      <c r="AY21" s="50">
        <f t="shared" ca="1" si="47"/>
        <v>0.3803219734765162</v>
      </c>
      <c r="AZ21" s="50">
        <f t="shared" ca="1" si="48"/>
        <v>22.786971103080553</v>
      </c>
      <c r="BA21" s="50">
        <f t="shared" ca="1" si="49"/>
        <v>5.8788403084536069</v>
      </c>
      <c r="BB21" s="50">
        <f t="shared" ca="1" si="50"/>
        <v>21377.22109089719</v>
      </c>
      <c r="BC21" s="50">
        <f t="shared" ca="1" si="51"/>
        <v>2.5720796668246039E-2</v>
      </c>
      <c r="BD21" s="50">
        <f t="shared" ca="1" si="52"/>
        <v>2.5720796668246039E-2</v>
      </c>
      <c r="BE21" s="50">
        <f t="shared" ca="1" si="64"/>
        <v>0.15048606220485175</v>
      </c>
      <c r="BF21" s="50">
        <f t="shared" ca="1" si="53"/>
        <v>15.048606220485174</v>
      </c>
      <c r="BG21" s="50">
        <f t="shared" ca="1" si="54"/>
        <v>233.69376398717361</v>
      </c>
      <c r="BH21" s="50">
        <f t="shared" ca="1" si="69"/>
        <v>2.3969427614618544E-4</v>
      </c>
      <c r="BI21" t="str">
        <f t="shared" ca="1" si="65"/>
        <v>Listo</v>
      </c>
    </row>
    <row r="22" spans="1:61" ht="15.75" thickBot="1" x14ac:dyDescent="0.3">
      <c r="A22" s="10" t="s">
        <v>60</v>
      </c>
      <c r="B22" s="11">
        <v>62.4</v>
      </c>
      <c r="F22" s="26">
        <f t="shared" ca="1" si="67"/>
        <v>1675.9263722942344</v>
      </c>
      <c r="G22" s="50">
        <f ca="1">G21</f>
        <v>218.64515776668844</v>
      </c>
      <c r="H22" s="50">
        <f ca="1">BG21</f>
        <v>233.69376398717361</v>
      </c>
      <c r="I22" s="50">
        <f t="shared" ca="1" si="12"/>
        <v>226.16946087693103</v>
      </c>
      <c r="J22" s="50">
        <f t="shared" si="74"/>
        <v>75</v>
      </c>
      <c r="K22" s="50">
        <f t="shared" si="74"/>
        <v>77.5</v>
      </c>
      <c r="L22" s="50">
        <f>L21</f>
        <v>76.25</v>
      </c>
      <c r="M22" s="50">
        <f ca="1">DV1</f>
        <v>30.680495423547473</v>
      </c>
      <c r="N22" s="50">
        <f ca="1">DV2</f>
        <v>0.70747193331319869</v>
      </c>
      <c r="O22" s="50">
        <f t="shared" ref="O22:O29" ca="1" si="75">(ABS(($B$16*$B$8)-(M22*N22)))/($B$16-M22)</f>
        <v>0.69915883377039512</v>
      </c>
      <c r="P22" s="50">
        <f t="shared" ca="1" si="15"/>
        <v>669.15651720008668</v>
      </c>
      <c r="Q22" s="50">
        <f t="shared" ref="Q22" ca="1" si="76">168+(325*O22)-(12.5*O22^2)</f>
        <v>389.11633253988867</v>
      </c>
      <c r="R22" s="50">
        <f t="shared" ref="R22" ca="1" si="77">I22/P22</f>
        <v>0.33799186746813581</v>
      </c>
      <c r="S22" s="50">
        <f t="shared" ref="S22" ca="1" si="78">(L22+460)/Q22</f>
        <v>1.3781225694118828</v>
      </c>
      <c r="T22" s="50">
        <f t="shared" ref="T22" ca="1" si="79">1-((3.25*R22)/(10^(0.9813*S22)))+((0.274*R22^2)/(10^(0.8157*S22)))</f>
        <v>0.95354991690989854</v>
      </c>
      <c r="U22" s="50">
        <f t="shared" ref="U22" ca="1" si="80">(T22*(L22+460)/I22)*($B$17/(520))</f>
        <v>6.3913229998464424E-2</v>
      </c>
      <c r="V22" s="50">
        <f t="shared" ref="V22" ca="1" si="81">(O22*$B$18)/U22</f>
        <v>0.83575395737848879</v>
      </c>
      <c r="W22" s="50">
        <f t="shared" ref="W22" ca="1" si="82">3.5+(986/(L22+460))+(0.2896*O22)</f>
        <v>5.5411710369545455</v>
      </c>
      <c r="X22" s="50">
        <f t="shared" ca="1" si="22"/>
        <v>1.2917657926090909</v>
      </c>
      <c r="Y22" s="50">
        <f t="shared" ref="Y22" ca="1" si="83">((9.4+(0.5792*O22))*(L22+460)^1.5)/((209+(550.24*O22)+(L22+460)))</f>
        <v>107.75446042658483</v>
      </c>
      <c r="Z22" s="51">
        <f t="shared" ref="Z22" ca="1" si="84">Y22*((10^(-4))*EXP(W22*(O22/62.928)^X22))</f>
        <v>1.0955408444165966E-2</v>
      </c>
      <c r="AA22" s="50">
        <f t="shared" ref="AA22" si="85">0.9759+0.00012*(BT21*((BT22/$B$19)^0.5)+(1.25*L22))^1.2</f>
        <v>1.0043551631018783</v>
      </c>
      <c r="AB22" s="50">
        <v>24</v>
      </c>
      <c r="AC22" s="52">
        <f t="shared" ref="AC22" ca="1" si="86">(($B$19*$B$22)+(N22*$B$18*M22))/AA22</f>
        <v>58.552814536824904</v>
      </c>
      <c r="AD22" s="50">
        <f t="shared" si="27"/>
        <v>0.16498815587413193</v>
      </c>
      <c r="AE22" s="50">
        <f t="shared" ref="AE22" si="87">$B$21*AA22*(5.615/1)*(1/86400)</f>
        <v>0.32635730560283838</v>
      </c>
      <c r="AF22" s="50">
        <f t="shared" ref="AF22" ca="1" si="88">$B$21*($B$16-M22)*U22*(1/86400)</f>
        <v>1.0080000525093966</v>
      </c>
      <c r="AG22" s="50">
        <f t="shared" ref="AG22" si="89">AE22/AD22</f>
        <v>1.9780650548746881</v>
      </c>
      <c r="AH22" s="50">
        <f t="shared" ref="AH22" ca="1" si="90">AF22/AD22</f>
        <v>6.1095297851464645</v>
      </c>
      <c r="AI22" s="50">
        <f t="shared" ref="AI22" ca="1" si="91">AG22+AH22</f>
        <v>8.0875948400211524</v>
      </c>
      <c r="AJ22" s="50">
        <f t="shared" ref="AJ22" ca="1" si="92">AE22/(AE22+AF22)</f>
        <v>0.24458013711150678</v>
      </c>
      <c r="AK22" s="50"/>
      <c r="AL22" s="50">
        <f t="shared" ref="AL22" ca="1" si="93">1.071-((0.2218*((AG22+AH22)^2))/($B$5*0.0833333))</f>
        <v>-30.582303732726942</v>
      </c>
      <c r="AM22" s="50">
        <f t="shared" ref="AM22" ca="1" si="94">AH22/(AG22+AH22)</f>
        <v>0.75541986288849328</v>
      </c>
      <c r="AN22" s="50">
        <f t="shared" ref="AN22" ca="1" si="95">AM22-AL22</f>
        <v>31.337723595615437</v>
      </c>
      <c r="AO22" s="50">
        <f t="shared" ref="AO22" ca="1" si="96">(42.4-(0.047*J22)-(0.267*$B$2))*EXP(-0.0007*I22)</f>
        <v>27.941014705375466</v>
      </c>
      <c r="AP22" s="50">
        <f t="shared" ref="AP22" ca="1" si="97">1.938*AG22*(AC22/AO22)^0.25</f>
        <v>4.6123339449109846</v>
      </c>
      <c r="AQ22" s="50">
        <f t="shared" ref="AQ22" ca="1" si="98">1.938*AH22*(AC22/AO22)^0.25</f>
        <v>14.245836630110693</v>
      </c>
      <c r="AR22" s="50">
        <f t="shared" ref="AR22" ca="1" si="99">((120.872*$B$5)/12)*((AC22/AO22)^0.25)</f>
        <v>66.65512575081496</v>
      </c>
      <c r="AS22" s="50">
        <f t="shared" ref="AS22" ca="1" si="100">0.15726*AB22*(1/(AC22*AO22^3)^0.25)</f>
        <v>0.11226928031820783</v>
      </c>
      <c r="AT22" s="50">
        <f t="shared" ca="1" si="42"/>
        <v>7.029478746098018E-3</v>
      </c>
      <c r="AU22" s="50">
        <f t="shared" ref="AU22" ca="1" si="101">(AP22*AT22*I22^0.1)/((AQ22^0.575)*AR22*$B$17^0.1)</f>
        <v>1.3878783461933431E-4</v>
      </c>
      <c r="AV22" s="50">
        <f t="shared" ca="1" si="44"/>
        <v>0.39016736682596592</v>
      </c>
      <c r="AW22" s="50">
        <f t="shared" ref="AW22" ca="1" si="102">(AQ22*AS22^0.1)/(AR22^2.14)</f>
        <v>1.431232705887409E-3</v>
      </c>
      <c r="AX22" s="50">
        <f t="shared" ca="1" si="46"/>
        <v>0.97471888086188885</v>
      </c>
      <c r="AY22" s="50">
        <f t="shared" ref="AY22" ca="1" si="103">AV22*AX22</f>
        <v>0.38030349914143557</v>
      </c>
      <c r="AZ22" s="50">
        <f t="shared" ref="AZ22" ca="1" si="104">(V22*(1-AY22))+(AC22*AY22)</f>
        <v>22.785754055900174</v>
      </c>
      <c r="BA22" s="50">
        <f t="shared" ref="BA22" ca="1" si="105">(Z22*(1-AJ22))+(AB22*AJ22)</f>
        <v>5.8781992238209417</v>
      </c>
      <c r="BB22" s="50">
        <f t="shared" ref="BB22" ca="1" si="106">(1488*AZ22*AI22*($B$5/12))/BA22</f>
        <v>21380.746555155896</v>
      </c>
      <c r="BC22" s="50">
        <f ca="1">BD22</f>
        <v>2.5719794766313472E-2</v>
      </c>
      <c r="BD22" s="50">
        <f t="shared" ca="1" si="52"/>
        <v>2.5719794766313472E-2</v>
      </c>
      <c r="BE22" s="50">
        <f t="shared" ref="BE22" ca="1" si="107">((BD22*AZ22*(AI22^2))/(144*2*32.2*($B$5/12)))+((AZ22*SIN(90))/144)</f>
        <v>0.15047964405291861</v>
      </c>
      <c r="BF22" s="50">
        <f t="shared" ca="1" si="53"/>
        <v>15.047964405291861</v>
      </c>
      <c r="BG22" s="50">
        <f t="shared" ref="BG22" ca="1" si="108">G22+BF22</f>
        <v>233.69312217198029</v>
      </c>
      <c r="BH22" s="50">
        <f t="shared" ref="BH22" ca="1" si="109">ABS(H22-BG22)/H22</f>
        <v>2.7463941800098194E-6</v>
      </c>
      <c r="BI22" t="str">
        <f t="shared" ca="1" si="65"/>
        <v>Listo</v>
      </c>
    </row>
    <row r="23" spans="1:61" x14ac:dyDescent="0.25">
      <c r="D23" s="25" t="s">
        <v>98</v>
      </c>
      <c r="F23" s="26">
        <f t="shared" ca="1" si="67"/>
        <v>1684.9620895811086</v>
      </c>
      <c r="G23" s="53">
        <f ca="1">BG22</f>
        <v>233.69312217198029</v>
      </c>
      <c r="H23" s="53">
        <f ca="1">G23+20</f>
        <v>253.69312217198029</v>
      </c>
      <c r="I23" s="53">
        <f t="shared" ca="1" si="12"/>
        <v>243.69312217198029</v>
      </c>
      <c r="J23" s="53">
        <f>K22</f>
        <v>77.5</v>
      </c>
      <c r="K23" s="53">
        <f>(800+2400)/40</f>
        <v>80</v>
      </c>
      <c r="L23" s="53">
        <f t="shared" ref="L23:L29" si="110">(J23+K23)/2</f>
        <v>78.75</v>
      </c>
      <c r="M23" s="53">
        <f ca="1">DY1</f>
        <v>33.054077947128206</v>
      </c>
      <c r="N23" s="53">
        <f ca="1">DY2</f>
        <v>0.70727635058797222</v>
      </c>
      <c r="O23" s="53">
        <f t="shared" ca="1" si="75"/>
        <v>0.69910972501480684</v>
      </c>
      <c r="P23" s="53">
        <f t="shared" ca="1" si="15"/>
        <v>669.15835558983656</v>
      </c>
      <c r="Q23" s="53">
        <f t="shared" ref="Q23" ca="1" si="111">168+(325*O23)-(12.5*O23^2)</f>
        <v>389.10123053468374</v>
      </c>
      <c r="R23" s="53">
        <f t="shared" ref="R23" ca="1" si="112">I23/P23</f>
        <v>0.36417855375529828</v>
      </c>
      <c r="S23" s="53">
        <f t="shared" ref="S23" ca="1" si="113">(L23+460)/Q23</f>
        <v>1.3846011210493381</v>
      </c>
      <c r="T23" s="53">
        <f t="shared" ref="T23" ca="1" si="114">1-((3.25*R23)/(10^(0.9813*S23)))+((0.274*R23^2)/(10^(0.8157*S23)))</f>
        <v>0.95087853731640559</v>
      </c>
      <c r="U23" s="53">
        <f t="shared" ref="U23" ca="1" si="115">(T23*(L23+460)/I23)*($B$17/(520))</f>
        <v>5.9426896046835882E-2</v>
      </c>
      <c r="V23" s="53">
        <f t="shared" ref="V23" ca="1" si="116">(O23*$B$18)/U23</f>
        <v>0.89878466728324269</v>
      </c>
      <c r="W23" s="53">
        <f t="shared" ref="W23" ca="1" si="117">3.5+(986/(L23+460))+(0.2896*O23)</f>
        <v>5.5326245893573276</v>
      </c>
      <c r="X23" s="53">
        <f t="shared" ca="1" si="22"/>
        <v>1.2934750821285343</v>
      </c>
      <c r="Y23" s="53">
        <f t="shared" ref="Y23" ca="1" si="118">((9.4+(0.5792*O23))*(L23+460)^1.5)/((209+(550.24*O23)+(L23+460)))</f>
        <v>108.27159166495726</v>
      </c>
      <c r="Z23" s="54">
        <f t="shared" ref="Z23" ca="1" si="119">Y23*((10^(-4))*EXP(W23*(O23/62.928)^X23))</f>
        <v>1.1006292886606929E-2</v>
      </c>
      <c r="AA23" s="53">
        <f t="shared" ref="AA23" si="120">0.9759+0.00012*(BT22*((BT23/$B$19)^0.5)+(1.25*L23))^1.2</f>
        <v>1.0054783495217203</v>
      </c>
      <c r="AB23" s="53">
        <v>24</v>
      </c>
      <c r="AC23" s="55">
        <f t="shared" ref="AC23" ca="1" si="121">(($B$19*$B$22)+(N23*$B$18*M23))/AA23</f>
        <v>58.614511070774974</v>
      </c>
      <c r="AD23" s="53">
        <f t="shared" si="27"/>
        <v>0.16498815587413193</v>
      </c>
      <c r="AE23" s="53">
        <f t="shared" ref="AE23" si="122">$B$21*AA23*(5.615/1)*(1/86400)</f>
        <v>0.32672227619007288</v>
      </c>
      <c r="AF23" s="53">
        <f t="shared" ref="AF23" ca="1" si="123">$B$21*($B$16-M23)*U23*(1/86400)</f>
        <v>0.92908147547876785</v>
      </c>
      <c r="AG23" s="53">
        <f t="shared" ref="AG23" si="124">AE23/AD23</f>
        <v>1.9802771566179971</v>
      </c>
      <c r="AH23" s="53">
        <f t="shared" ref="AH23" ca="1" si="125">AF23/AD23</f>
        <v>5.6312010432285593</v>
      </c>
      <c r="AI23" s="53">
        <f t="shared" ref="AI23" ca="1" si="126">AG23+AH23</f>
        <v>7.6114781998465562</v>
      </c>
      <c r="AJ23" s="53">
        <f t="shared" ref="AJ23" ca="1" si="127">AE23/(AE23+AF23)</f>
        <v>0.26016985198196041</v>
      </c>
      <c r="AK23" s="53"/>
      <c r="AL23" s="53">
        <f t="shared" ref="AL23" ca="1" si="128">1.071-((0.2218*((AG23+AH23)^2))/($B$5*0.0833333))</f>
        <v>-26.965144376156932</v>
      </c>
      <c r="AM23" s="53">
        <f t="shared" ref="AM23" ca="1" si="129">AH23/(AG23+AH23)</f>
        <v>0.73983014801803959</v>
      </c>
      <c r="AN23" s="53">
        <f t="shared" ref="AN23" ca="1" si="130">AM23-AL23</f>
        <v>27.704974524174972</v>
      </c>
      <c r="AO23" s="53">
        <f t="shared" ref="AO23" ca="1" si="131">(42.4-(0.047*J23)-(0.267*$B$2))*EXP(-0.0007*I23)</f>
        <v>27.501295420924535</v>
      </c>
      <c r="AP23" s="53">
        <f t="shared" ref="AP23" ca="1" si="132">1.938*AG23*(AC23/AO23)^0.25</f>
        <v>4.6370603620556077</v>
      </c>
      <c r="AQ23" s="53">
        <f t="shared" ref="AQ23" ca="1" si="133">1.938*AH23*(AC23/AO23)^0.25</f>
        <v>13.186143697641251</v>
      </c>
      <c r="AR23" s="53">
        <f t="shared" ref="AR23" ca="1" si="134">((120.872*$B$5)/12)*((AC23/AO23)^0.25)</f>
        <v>66.937602080828299</v>
      </c>
      <c r="AS23" s="53">
        <f t="shared" ref="AS23" ca="1" si="135">0.15726*AB23*(1/(AC23*AO23^3)^0.25)</f>
        <v>0.11358300722337566</v>
      </c>
      <c r="AT23" s="53">
        <f t="shared" ca="1" si="42"/>
        <v>7.0719382240584105E-3</v>
      </c>
      <c r="AU23" s="53">
        <f t="shared" ref="AU23" ca="1" si="136">(AP23*AT23*I23^0.1)/((AQ23^0.575)*AR23*$B$17^0.1)</f>
        <v>1.4722986484651287E-4</v>
      </c>
      <c r="AV23" s="53">
        <f t="shared" ca="1" si="44"/>
        <v>0.40154115757504261</v>
      </c>
      <c r="AW23" s="53">
        <f t="shared" ref="AW23" ca="1" si="137">(AQ23*AS23^0.1)/(AR23^2.14)</f>
        <v>1.3143620723503478E-3</v>
      </c>
      <c r="AX23" s="53">
        <f t="shared" ca="1" si="46"/>
        <v>0.97471888062109469</v>
      </c>
      <c r="AY23" s="53">
        <f t="shared" ref="AY23" ca="1" si="138">AV23*AX23</f>
        <v>0.39138974763484413</v>
      </c>
      <c r="AZ23" s="53">
        <f t="shared" ref="AZ23" ca="1" si="139">(V23*(1-AY23))+(AC23*AY23)</f>
        <v>23.488128258907583</v>
      </c>
      <c r="BA23" s="53">
        <f t="shared" ref="BA23" ca="1" si="140">(Z23*(1-AJ23))+(AB23*AJ23)</f>
        <v>6.2522192348624781</v>
      </c>
      <c r="BB23" s="53">
        <f t="shared" ref="BB23" ca="1" si="141">(1488*AZ23*AI23*($B$5/12))/BA23</f>
        <v>19501.480992074099</v>
      </c>
      <c r="BC23" s="53">
        <f ca="1">(-2*LOG(($B$7/(3.71*$B$5))+(2.514/(BB22*SQRT(BC22)))))^(-2)</f>
        <v>2.5719794766313472E-2</v>
      </c>
      <c r="BD23" s="53">
        <f ca="1">(-2*LOG(($B$7/(3.71*$B$5))+(2.514/(BB23*SQRT(BC23)))))^(-2)</f>
        <v>2.636664698724207E-2</v>
      </c>
      <c r="BE23" s="53">
        <f t="shared" ref="BE23" ca="1" si="142">((BD23*AZ23*(AI23^2))/(144*2*32.2*($B$5/12)))+((AZ23*SIN(90))/144)</f>
        <v>0.15426292800608055</v>
      </c>
      <c r="BF23" s="53">
        <f t="shared" ca="1" si="53"/>
        <v>15.426292800608055</v>
      </c>
      <c r="BG23" s="53">
        <f t="shared" ref="BG23" ca="1" si="143">G23+BF23</f>
        <v>249.11941497258834</v>
      </c>
      <c r="BH23" s="53">
        <f t="shared" ref="BH23" ca="1" si="144">ABS(H23-BG23)/H23</f>
        <v>1.8028502941799897E-2</v>
      </c>
      <c r="BI23" t="str">
        <f t="shared" ca="1" si="65"/>
        <v>Repetir</v>
      </c>
    </row>
    <row r="24" spans="1:61" x14ac:dyDescent="0.25">
      <c r="F24" s="26">
        <f t="shared" ca="1" si="67"/>
        <v>1684.9482589166244</v>
      </c>
      <c r="G24" s="53">
        <f ca="1">G23</f>
        <v>233.69312217198029</v>
      </c>
      <c r="H24" s="53">
        <f ca="1">BG23</f>
        <v>249.11941497258834</v>
      </c>
      <c r="I24" s="53">
        <f t="shared" ref="I24:I29" ca="1" si="145">(G24+H24)/2</f>
        <v>241.40626857228432</v>
      </c>
      <c r="J24" s="53">
        <f>J23</f>
        <v>77.5</v>
      </c>
      <c r="K24" s="53">
        <f>(800+2400)/40</f>
        <v>80</v>
      </c>
      <c r="L24" s="53">
        <f t="shared" si="110"/>
        <v>78.75</v>
      </c>
      <c r="M24" s="53">
        <f ca="1">EA1</f>
        <v>32.717321099496665</v>
      </c>
      <c r="N24" s="53">
        <f ca="1">EA2</f>
        <v>0.70730409928486571</v>
      </c>
      <c r="O24" s="53">
        <f t="shared" ca="1" si="75"/>
        <v>0.69911653593503176</v>
      </c>
      <c r="P24" s="53">
        <f t="shared" ca="1" si="15"/>
        <v>669.158100633358</v>
      </c>
      <c r="Q24" s="53">
        <f t="shared" ref="Q24" ca="1" si="146">168+(325*O24)-(12.5*O24^2)</f>
        <v>389.10332504366284</v>
      </c>
      <c r="R24" s="53">
        <f t="shared" ref="R24" ca="1" si="147">I24/P24</f>
        <v>0.36076118385743716</v>
      </c>
      <c r="S24" s="53">
        <f t="shared" ref="S24" ca="1" si="148">(L24+460)/Q24</f>
        <v>1.3845936678632718</v>
      </c>
      <c r="T24" s="53">
        <f t="shared" ref="T24" ca="1" si="149">1-((3.25*R24)/(10^(0.9813*S24)))+((0.274*R24^2)/(10^(0.8157*S24)))</f>
        <v>0.9513135795491855</v>
      </c>
      <c r="U24" s="53">
        <f t="shared" ref="U24" ca="1" si="150">(T24*(L24+460)/I24)*($B$17/(520))</f>
        <v>6.0017296313188209E-2</v>
      </c>
      <c r="V24" s="53">
        <f t="shared" ref="V24" ca="1" si="151">(O24*$B$18)/U24</f>
        <v>0.88995184099453595</v>
      </c>
      <c r="W24" s="53">
        <f t="shared" ref="W24" ca="1" si="152">3.5+(986/(L24+460))+(0.2896*O24)</f>
        <v>5.5326265617998249</v>
      </c>
      <c r="X24" s="53">
        <f t="shared" ca="1" si="22"/>
        <v>1.2934746876400349</v>
      </c>
      <c r="Y24" s="53">
        <f t="shared" ref="Y24" ca="1" si="153">((9.4+(0.5792*O24))*(L24+460)^1.5)/((209+(550.24*O24)+(L24+460)))</f>
        <v>108.27127691529172</v>
      </c>
      <c r="Z24" s="54">
        <f t="shared" ref="Z24" ca="1" si="154">Y24*((10^(-4))*EXP(W24*(O24/62.928)^X24))</f>
        <v>1.1006263551796187E-2</v>
      </c>
      <c r="AA24" s="53">
        <f t="shared" ref="AA24" si="155">0.9759+0.00012*(BT23*((BT24/$B$19)^0.5)+(1.25*L24))^1.2</f>
        <v>1.0054783495217203</v>
      </c>
      <c r="AB24" s="53">
        <v>24</v>
      </c>
      <c r="AC24" s="55">
        <f t="shared" ref="AC24" ca="1" si="156">(($B$19*$B$22)+(N24*$B$18*M24))/AA24</f>
        <v>58.596482235985583</v>
      </c>
      <c r="AD24" s="53">
        <f t="shared" si="27"/>
        <v>0.16498815587413193</v>
      </c>
      <c r="AE24" s="53">
        <f t="shared" ref="AE24" si="157">$B$21*AA24*(5.615/1)*(1/86400)</f>
        <v>0.32672227619007288</v>
      </c>
      <c r="AF24" s="53">
        <f t="shared" ref="AF24" ca="1" si="158">$B$21*($B$16-M24)*U24*(1/86400)</f>
        <v>0.93948143866432787</v>
      </c>
      <c r="AG24" s="53">
        <f t="shared" ref="AG24" si="159">AE24/AD24</f>
        <v>1.9802771566179971</v>
      </c>
      <c r="AH24" s="53">
        <f t="shared" ref="AH24" ca="1" si="160">AF24/AD24</f>
        <v>5.6942356479276626</v>
      </c>
      <c r="AI24" s="53">
        <f t="shared" ref="AI24" ca="1" si="161">AG24+AH24</f>
        <v>7.6745128045456594</v>
      </c>
      <c r="AJ24" s="53">
        <f t="shared" ref="AJ24" ca="1" si="162">AE24/(AE24+AF24)</f>
        <v>0.2580329471136027</v>
      </c>
      <c r="AK24" s="53"/>
      <c r="AL24" s="53">
        <f t="shared" ref="AL24" ca="1" si="163">1.071-((0.2218*((AG24+AH24)^2))/($B$5*0.0833333))</f>
        <v>-27.431430944361338</v>
      </c>
      <c r="AM24" s="53">
        <f t="shared" ref="AM24" ca="1" si="164">AH24/(AG24+AH24)</f>
        <v>0.7419670528863973</v>
      </c>
      <c r="AN24" s="53">
        <f t="shared" ref="AN24" ca="1" si="165">AM24-AL24</f>
        <v>28.173397997247736</v>
      </c>
      <c r="AO24" s="53">
        <f t="shared" ref="AO24" ca="1" si="166">(42.4-(0.047*J24)-(0.267*$B$2))*EXP(-0.0007*I24)</f>
        <v>27.545354681994528</v>
      </c>
      <c r="AP24" s="53">
        <f t="shared" ref="AP24" ca="1" si="167">1.938*AG24*(AC24/AO24)^0.25</f>
        <v>4.6348485158255235</v>
      </c>
      <c r="AQ24" s="53">
        <f t="shared" ref="AQ24" ca="1" si="168">1.938*AH24*(AC24/AO24)^0.25</f>
        <v>13.327386802073493</v>
      </c>
      <c r="AR24" s="53">
        <f t="shared" ref="AR24" ca="1" si="169">((120.872*$B$5)/12)*((AC24/AO24)^0.25)</f>
        <v>66.905673300253255</v>
      </c>
      <c r="AS24" s="53">
        <f t="shared" ref="AS24" ca="1" si="170">0.15726*AB24*(1/(AC24*AO24^3)^0.25)</f>
        <v>0.11345544675657605</v>
      </c>
      <c r="AT24" s="53">
        <f t="shared" ca="1" si="42"/>
        <v>7.067831135030251E-3</v>
      </c>
      <c r="AU24" s="53">
        <f t="shared" ref="AU24" ca="1" si="171">(AP24*AT24*I24^0.1)/((AQ24^0.575)*AR24*$B$17^0.1)</f>
        <v>1.4610783583707076E-4</v>
      </c>
      <c r="AV24" s="53">
        <f t="shared" ca="1" si="44"/>
        <v>0.40005575477992233</v>
      </c>
      <c r="AW24" s="53">
        <f t="shared" ref="AW24" ca="1" si="172">(AQ24*AS24^0.1)/(AR24^2.14)</f>
        <v>1.3296484573191139E-3</v>
      </c>
      <c r="AX24" s="53">
        <f t="shared" ca="1" si="46"/>
        <v>0.97471888064934131</v>
      </c>
      <c r="AY24" s="53">
        <f t="shared" ref="AY24" ca="1" si="173">AV24*AX24</f>
        <v>0.38994189749641328</v>
      </c>
      <c r="AZ24" s="53">
        <f t="shared" ref="AZ24" ca="1" si="174">(V24*(1-AY24))+(AC24*AY24)</f>
        <v>23.392145801151791</v>
      </c>
      <c r="BA24" s="53">
        <f t="shared" ref="BA24" ca="1" si="175">(Z24*(1-AJ24))+(AB24*AJ24)</f>
        <v>6.2009570156572815</v>
      </c>
      <c r="BB24" s="53">
        <f t="shared" ref="BB24" ca="1" si="176">(1488*AZ24*AI24*($B$5/12))/BA24</f>
        <v>19744.517760724691</v>
      </c>
      <c r="BC24" s="53">
        <f t="shared" ref="BC24:BC29" ca="1" si="177">BD24</f>
        <v>2.6210707445181652E-2</v>
      </c>
      <c r="BD24" s="53">
        <f t="shared" ca="1" si="52"/>
        <v>2.6210707445181652E-2</v>
      </c>
      <c r="BE24" s="53">
        <f t="shared" ref="BE24" ca="1" si="178">((BD24*AZ24*(AI24^2))/(144*2*32.2*($B$5/12)))+((AZ24*SIN(90))/144)</f>
        <v>0.15372181642641106</v>
      </c>
      <c r="BF24" s="53">
        <f t="shared" ca="1" si="53"/>
        <v>15.372181642641106</v>
      </c>
      <c r="BG24" s="53">
        <f t="shared" ref="BG24" ca="1" si="179">G24+BF24</f>
        <v>249.06530381462139</v>
      </c>
      <c r="BH24" s="53">
        <f t="shared" ref="BH24" ca="1" si="180">ABS(H24-BG24)/H24</f>
        <v>2.1720971837105356E-4</v>
      </c>
      <c r="BI24" t="str">
        <f t="shared" ca="1" si="65"/>
        <v>Listo</v>
      </c>
    </row>
    <row r="25" spans="1:61" x14ac:dyDescent="0.25">
      <c r="F25" s="26">
        <f t="shared" ca="1" si="67"/>
        <v>1684.9480939635557</v>
      </c>
      <c r="G25" s="53">
        <f ca="1">G24</f>
        <v>233.69312217198029</v>
      </c>
      <c r="H25" s="53">
        <f ca="1">BG24</f>
        <v>249.06530381462139</v>
      </c>
      <c r="I25" s="53">
        <f t="shared" ca="1" si="145"/>
        <v>241.37921299330083</v>
      </c>
      <c r="J25" s="53">
        <f>J24</f>
        <v>77.5</v>
      </c>
      <c r="K25" s="53">
        <f>(800+2400)/40</f>
        <v>80</v>
      </c>
      <c r="L25" s="53">
        <f t="shared" si="110"/>
        <v>78.75</v>
      </c>
      <c r="M25" s="53">
        <f ca="1">EC1</f>
        <v>32.713320186719351</v>
      </c>
      <c r="N25" s="53">
        <f ca="1">EC2</f>
        <v>0.70730442895927836</v>
      </c>
      <c r="O25" s="53">
        <f t="shared" ca="1" si="75"/>
        <v>0.69911661716701667</v>
      </c>
      <c r="P25" s="53">
        <f t="shared" ca="1" si="15"/>
        <v>669.1580975925408</v>
      </c>
      <c r="Q25" s="53">
        <f t="shared" ref="Q25" ca="1" si="181">168+(325*O25)-(12.5*O25^2)</f>
        <v>389.10335002429224</v>
      </c>
      <c r="R25" s="53">
        <f t="shared" ref="R25" ca="1" si="182">I25/P25</f>
        <v>0.3607207532296498</v>
      </c>
      <c r="S25" s="53">
        <f t="shared" ref="S25" ca="1" si="183">(L25+460)/Q25</f>
        <v>1.3845935789716668</v>
      </c>
      <c r="T25" s="53">
        <f t="shared" ref="T25" ca="1" si="184">1-((3.25*R25)/(10^(0.9813*S25)))+((0.274*R25^2)/(10^(0.8157*S25)))</f>
        <v>0.95131872935253037</v>
      </c>
      <c r="U25" s="53">
        <f t="shared" ref="U25" ca="1" si="185">(T25*(L25+460)/I25)*($B$17/(520))</f>
        <v>6.0024348430196113E-2</v>
      </c>
      <c r="V25" s="53">
        <f t="shared" ref="V25" ca="1" si="186">(O25*$B$18)/U25</f>
        <v>0.8898473860765832</v>
      </c>
      <c r="W25" s="53">
        <f t="shared" ref="W25" ca="1" si="187">3.5+(986/(L25+460))+(0.2896*O25)</f>
        <v>5.532626585324607</v>
      </c>
      <c r="X25" s="53">
        <f t="shared" ca="1" si="22"/>
        <v>1.2934746829350785</v>
      </c>
      <c r="Y25" s="53">
        <f t="shared" ref="Y25" ca="1" si="188">((9.4+(0.5792*O25))*(L25+460)^1.5)/((209+(550.24*O25)+(L25+460)))</f>
        <v>108.27127316137101</v>
      </c>
      <c r="Z25" s="54">
        <f t="shared" ref="Z25" ca="1" si="189">Y25*((10^(-4))*EXP(W25*(O25/62.928)^X25))</f>
        <v>1.1006263201929196E-2</v>
      </c>
      <c r="AA25" s="53">
        <f t="shared" ref="AA25" si="190">0.9759+0.00012*(BT24*((BT25/$B$19)^0.5)+(1.25*L25))^1.2</f>
        <v>1.0054783495217203</v>
      </c>
      <c r="AB25" s="53">
        <v>24</v>
      </c>
      <c r="AC25" s="55">
        <f t="shared" ref="AC25" ca="1" si="191">(($B$19*$B$22)+(N25*$B$18*M25))/AA25</f>
        <v>58.596268031967128</v>
      </c>
      <c r="AD25" s="53">
        <f t="shared" si="27"/>
        <v>0.16498815587413193</v>
      </c>
      <c r="AE25" s="53">
        <f t="shared" ref="AE25" si="192">$B$21*AA25*(5.615/1)*(1/86400)</f>
        <v>0.32672227619007288</v>
      </c>
      <c r="AF25" s="53">
        <f t="shared" ref="AF25" ca="1" si="193">$B$21*($B$16-M25)*U25*(1/86400)</f>
        <v>0.93960572675483534</v>
      </c>
      <c r="AG25" s="53">
        <f t="shared" ref="AG25" si="194">AE25/AD25</f>
        <v>1.9802771566179971</v>
      </c>
      <c r="AH25" s="53">
        <f t="shared" ref="AH25" ca="1" si="195">AF25/AD25</f>
        <v>5.6949889631571651</v>
      </c>
      <c r="AI25" s="53">
        <f t="shared" ref="AI25" ca="1" si="196">AG25+AH25</f>
        <v>7.6752661197751619</v>
      </c>
      <c r="AJ25" s="53">
        <f t="shared" ref="AJ25" ca="1" si="197">AE25/(AE25+AF25)</f>
        <v>0.25800762158798046</v>
      </c>
      <c r="AK25" s="53"/>
      <c r="AL25" s="53">
        <f t="shared" ref="AL25" ca="1" si="198">1.071-((0.2218*((AG25+AH25)^2))/($B$5*0.0833333))</f>
        <v>-27.437026705198885</v>
      </c>
      <c r="AM25" s="53">
        <f t="shared" ref="AM25" ca="1" si="199">AH25/(AG25+AH25)</f>
        <v>0.74199237841201959</v>
      </c>
      <c r="AN25" s="53">
        <f t="shared" ref="AN25" ca="1" si="200">AM25-AL25</f>
        <v>28.179019083610903</v>
      </c>
      <c r="AO25" s="53">
        <f t="shared" ref="AO25" ca="1" si="201">(42.4-(0.047*J25)-(0.267*$B$2))*EXP(-0.0007*I25)</f>
        <v>27.54587636579803</v>
      </c>
      <c r="AP25" s="53">
        <f t="shared" ref="AP25" ca="1" si="202">1.938*AG25*(AC25/AO25)^0.25</f>
        <v>4.6348223353897495</v>
      </c>
      <c r="AQ25" s="53">
        <f t="shared" ref="AQ25" ca="1" si="203">1.938*AH25*(AC25/AO25)^0.25</f>
        <v>13.329074648983939</v>
      </c>
      <c r="AR25" s="53">
        <f t="shared" ref="AR25" ca="1" si="204">((120.872*$B$5)/12)*((AC25/AO25)^0.25)</f>
        <v>66.905295376427532</v>
      </c>
      <c r="AS25" s="53">
        <f t="shared" ref="AS25" ca="1" si="205">0.15726*AB25*(1/(AC25*AO25^3)^0.25)</f>
        <v>0.11345393891162724</v>
      </c>
      <c r="AT25" s="53">
        <f t="shared" ca="1" si="42"/>
        <v>7.067782566578606E-3</v>
      </c>
      <c r="AU25" s="53">
        <f t="shared" ref="AU25" ca="1" si="206">(AP25*AT25*I25^0.1)/((AQ25^0.575)*AR25*$B$17^0.1)</f>
        <v>1.4609455579850484E-4</v>
      </c>
      <c r="AV25" s="53">
        <f t="shared" ca="1" si="44"/>
        <v>0.40003812665743033</v>
      </c>
      <c r="AW25" s="53">
        <f t="shared" ref="AW25" ca="1" si="207">(AQ25*AS25^0.1)/(AR25^2.14)</f>
        <v>1.3298311582571542E-3</v>
      </c>
      <c r="AX25" s="53">
        <f t="shared" ca="1" si="46"/>
        <v>0.9747188806496847</v>
      </c>
      <c r="AY25" s="53">
        <f t="shared" ref="AY25" ca="1" si="208">AV25*AX25</f>
        <v>0.3899247150327273</v>
      </c>
      <c r="AZ25" s="53">
        <f t="shared" ref="AZ25" ca="1" si="209">(V25*(1-AY25))+(AC25*AY25)</f>
        <v>23.391007011984144</v>
      </c>
      <c r="BA25" s="53">
        <f t="shared" ref="BA25" ca="1" si="210">(Z25*(1-AJ25))+(AB25*AJ25)</f>
        <v>6.2003494815221591</v>
      </c>
      <c r="BB25" s="53">
        <f t="shared" ref="BB25" ca="1" si="211">(1488*AZ25*AI25*($B$5/12))/BA25</f>
        <v>19747.429276070063</v>
      </c>
      <c r="BC25" s="53">
        <f t="shared" ca="1" si="177"/>
        <v>2.620978478469152E-2</v>
      </c>
      <c r="BD25" s="53">
        <f t="shared" ca="1" si="52"/>
        <v>2.620978478469152E-2</v>
      </c>
      <c r="BE25" s="53">
        <f t="shared" ref="BE25" ca="1" si="212">((BD25*AZ25*(AI25^2))/(144*2*32.2*($B$5/12)))+((AZ25*SIN(90))/144)</f>
        <v>0.15371570166143284</v>
      </c>
      <c r="BF25" s="53">
        <f t="shared" ca="1" si="53"/>
        <v>15.371570166143284</v>
      </c>
      <c r="BG25" s="53">
        <f t="shared" ref="BG25" ca="1" si="213">G25+BF25</f>
        <v>249.06469233812356</v>
      </c>
      <c r="BH25" s="53">
        <f t="shared" ref="BH25" ca="1" si="214">ABS(H25-BG25)/H25</f>
        <v>2.4550850257275503E-6</v>
      </c>
      <c r="BI25" t="str">
        <f t="shared" ca="1" si="65"/>
        <v>Listo</v>
      </c>
    </row>
    <row r="26" spans="1:61" x14ac:dyDescent="0.25">
      <c r="D26" s="25" t="s">
        <v>99</v>
      </c>
      <c r="F26" s="26">
        <f t="shared" ca="1" si="67"/>
        <v>1694.0285123117289</v>
      </c>
      <c r="G26" s="56">
        <f ca="1">BG25</f>
        <v>249.06469233812356</v>
      </c>
      <c r="H26" s="56">
        <f ca="1">G26+20</f>
        <v>269.06469233812356</v>
      </c>
      <c r="I26" s="56">
        <f t="shared" ca="1" si="145"/>
        <v>259.06469233812356</v>
      </c>
      <c r="J26" s="56">
        <f>K25</f>
        <v>80</v>
      </c>
      <c r="K26" s="56">
        <f>(900+2400)/40</f>
        <v>82.5</v>
      </c>
      <c r="L26" s="56">
        <f t="shared" si="110"/>
        <v>81.25</v>
      </c>
      <c r="M26" s="56">
        <f ca="1">EE1</f>
        <v>35.120453384144611</v>
      </c>
      <c r="N26" s="56">
        <f ca="1">EE2</f>
        <v>0.70710608166523714</v>
      </c>
      <c r="O26" s="56">
        <f t="shared" ca="1" si="75"/>
        <v>0.69906908414364444</v>
      </c>
      <c r="P26" s="56">
        <f t="shared" ca="1" si="15"/>
        <v>669.15987684695097</v>
      </c>
      <c r="Q26" s="56">
        <f t="shared" ref="Q26" ca="1" si="215">168+(325*O26)-(12.5*O26^2)</f>
        <v>389.08873254161648</v>
      </c>
      <c r="R26" s="56">
        <f t="shared" ref="R26" ca="1" si="216">I26/P26</f>
        <v>0.38714917212135297</v>
      </c>
      <c r="S26" s="56">
        <f t="shared" ref="S26" ca="1" si="217">(L26+460)/Q26</f>
        <v>1.3910708656722885</v>
      </c>
      <c r="T26" s="56">
        <f t="shared" ref="T26" ca="1" si="218">1-((3.25*R26)/(10^(0.9813*S26)))+((0.274*R26^2)/(10^(0.8157*S26)))</f>
        <v>0.94872369155641856</v>
      </c>
      <c r="U26" s="56">
        <f t="shared" ref="U26" ca="1" si="219">(T26*(L26+460)/I26)*($B$17/(520))</f>
        <v>5.603294113736753E-2</v>
      </c>
      <c r="V26" s="56">
        <f t="shared" ref="V26" ca="1" si="220">(O26*$B$18)/U26</f>
        <v>0.95316927765115744</v>
      </c>
      <c r="W26" s="56">
        <f t="shared" ref="W26" ca="1" si="221">3.5+(986/(L26+460))+(0.2896*O26)</f>
        <v>5.5241594136964061</v>
      </c>
      <c r="X26" s="56">
        <f t="shared" ca="1" si="22"/>
        <v>1.2951681172607186</v>
      </c>
      <c r="Y26" s="56">
        <f t="shared" ref="Y26" ca="1" si="222">((9.4+(0.5792*O26))*(L26+460)^1.5)/((209+(550.24*O26)+(L26+460)))</f>
        <v>108.78781739757871</v>
      </c>
      <c r="Z26" s="57">
        <f t="shared" ref="Z26" ca="1" si="223">Y26*((10^(-4))*EXP(W26*(O26/62.928)^X26))</f>
        <v>1.1057103311190669E-2</v>
      </c>
      <c r="AA26" s="56">
        <f t="shared" ref="AA26" si="224">0.9759+0.00012*(BT25*((BT26/$B$19)^0.5)+(1.25*L26))^1.2</f>
        <v>1.0066086910564045</v>
      </c>
      <c r="AB26" s="56">
        <v>24</v>
      </c>
      <c r="AC26" s="58">
        <f t="shared" ref="AC26" ca="1" si="225">(($B$19*$B$22)+(N26*$B$18*M26))/AA26</f>
        <v>58.659163180080384</v>
      </c>
      <c r="AD26" s="56">
        <f t="shared" si="27"/>
        <v>0.16498815587413193</v>
      </c>
      <c r="AE26" s="56">
        <f t="shared" ref="AE26" si="226">$B$21*AA26*(5.615/1)*(1/86400)</f>
        <v>0.32708957177556197</v>
      </c>
      <c r="AF26" s="56">
        <f t="shared" ref="AF26" ca="1" si="227">$B$21*($B$16-M26)*U26*(1/86400)</f>
        <v>0.86931977922857484</v>
      </c>
      <c r="AG26" s="56">
        <f t="shared" ref="AG26" si="228">AE26/AD26</f>
        <v>1.9825033502713725</v>
      </c>
      <c r="AH26" s="56">
        <f t="shared" ref="AH26" ca="1" si="229">AF26/AD26</f>
        <v>5.268982943792472</v>
      </c>
      <c r="AI26" s="56">
        <f t="shared" ref="AI26" ca="1" si="230">AG26+AH26</f>
        <v>7.2514862940638443</v>
      </c>
      <c r="AJ26" s="56">
        <f t="shared" ref="AJ26" ca="1" si="231">AE26/(AE26+AF26)</f>
        <v>0.27339269080523171</v>
      </c>
      <c r="AK26" s="56"/>
      <c r="AL26" s="56">
        <f t="shared" ref="AL26" ca="1" si="232">1.071-((0.2218*((AG26+AH26)^2))/($B$5*0.0833333))</f>
        <v>-24.375867764879029</v>
      </c>
      <c r="AM26" s="56">
        <f t="shared" ref="AM26" ca="1" si="233">AH26/(AG26+AH26)</f>
        <v>0.72660730919476824</v>
      </c>
      <c r="AN26" s="56">
        <f t="shared" ref="AN26" ca="1" si="234">AM26-AL26</f>
        <v>25.102475074073798</v>
      </c>
      <c r="AO26" s="56">
        <f t="shared" ref="AO26" ca="1" si="235">(42.4-(0.047*J26)-(0.267*$B$2))*EXP(-0.0007*I26)</f>
        <v>27.108952801164815</v>
      </c>
      <c r="AP26" s="56">
        <f t="shared" ref="AP26" ca="1" si="236">1.938*AG26*(AC26/AO26)^0.25</f>
        <v>4.6598665884066408</v>
      </c>
      <c r="AQ26" s="56">
        <f t="shared" ref="AQ26" ca="1" si="237">1.938*AH26*(AC26/AO26)^0.25</f>
        <v>12.384724379558872</v>
      </c>
      <c r="AR26" s="56">
        <f t="shared" ref="AR26" ca="1" si="238">((120.872*$B$5)/12)*((AC26/AO26)^0.25)</f>
        <v>67.191282714349924</v>
      </c>
      <c r="AS26" s="56">
        <f t="shared" ref="AS26" ca="1" si="239">0.15726*AB26*(1/(AC26*AO26^3)^0.25)</f>
        <v>0.11479183311051029</v>
      </c>
      <c r="AT26" s="56">
        <f t="shared" ca="1" si="42"/>
        <v>7.1106928525824249E-3</v>
      </c>
      <c r="AU26" s="56">
        <f t="shared" ref="AU26" ca="1" si="240">(AP26*AT26*I26^0.1)/((AQ26^0.575)*AR26*$B$17^0.1)</f>
        <v>1.5458662337648838E-4</v>
      </c>
      <c r="AV26" s="56">
        <f t="shared" ca="1" si="44"/>
        <v>0.41108921010896105</v>
      </c>
      <c r="AW26" s="56">
        <f t="shared" ref="AW26" ca="1" si="241">(AQ26*AS26^0.1)/(AR26^2.14)</f>
        <v>1.2258230131214068E-3</v>
      </c>
      <c r="AX26" s="56">
        <f t="shared" ca="1" si="46"/>
        <v>0.97471888047496891</v>
      </c>
      <c r="AY26" s="56">
        <f t="shared" ref="AY26" ca="1" si="242">AV26*AX26</f>
        <v>0.4006964146527458</v>
      </c>
      <c r="AZ26" s="56">
        <f t="shared" ref="AZ26" ca="1" si="243">(V26*(1-AY26))+(AC26*AY26)</f>
        <v>24.07575413832776</v>
      </c>
      <c r="BA26" s="56">
        <f t="shared" ref="BA26" ca="1" si="244">(Z26*(1-AJ26))+(AB26*AJ26)</f>
        <v>6.5694587514099938</v>
      </c>
      <c r="BB26" s="56">
        <f t="shared" ref="BB26" ca="1" si="245">(1488*AZ26*AI26*($B$5/12))/BA26</f>
        <v>18124.319718274968</v>
      </c>
      <c r="BC26" s="56">
        <f t="shared" ca="1" si="177"/>
        <v>2.675513041355115E-2</v>
      </c>
      <c r="BD26" s="56">
        <f t="shared" ca="1" si="52"/>
        <v>2.675513041355115E-2</v>
      </c>
      <c r="BE26" s="56">
        <f t="shared" ref="BE26" ca="1" si="246">((BD26*AZ26*(AI26^2))/(144*2*32.2*($B$5/12)))+((AZ26*SIN(90))/144)</f>
        <v>0.15743888496239078</v>
      </c>
      <c r="BF26" s="56">
        <f t="shared" ca="1" si="53"/>
        <v>15.743888496239078</v>
      </c>
      <c r="BG26" s="56">
        <f t="shared" ref="BG26" ca="1" si="247">G26+BF26</f>
        <v>264.80858083436266</v>
      </c>
      <c r="BH26" s="56">
        <f t="shared" ref="BH26" ca="1" si="248">ABS(H26-BG26)/H26</f>
        <v>1.581817170724284E-2</v>
      </c>
      <c r="BI26" t="str">
        <f t="shared" ca="1" si="65"/>
        <v>Repetir</v>
      </c>
    </row>
    <row r="27" spans="1:61" x14ac:dyDescent="0.25">
      <c r="F27" s="26">
        <f t="shared" ca="1" si="67"/>
        <v>1694.0156943303848</v>
      </c>
      <c r="G27" s="56">
        <f ca="1">G26</f>
        <v>249.06469233812356</v>
      </c>
      <c r="H27" s="56">
        <f ca="1">BG26</f>
        <v>264.80858083436266</v>
      </c>
      <c r="I27" s="56">
        <f t="shared" ca="1" si="145"/>
        <v>256.93663658624314</v>
      </c>
      <c r="J27" s="56">
        <f>J26</f>
        <v>80</v>
      </c>
      <c r="K27" s="56">
        <f>K26</f>
        <v>82.5</v>
      </c>
      <c r="L27" s="56">
        <f t="shared" si="110"/>
        <v>81.25</v>
      </c>
      <c r="M27" s="56">
        <f ca="1">EG1</f>
        <v>34.794479316956853</v>
      </c>
      <c r="N27" s="56">
        <f ca="1">EG2</f>
        <v>0.70713294186317854</v>
      </c>
      <c r="O27" s="56">
        <f t="shared" ca="1" si="75"/>
        <v>0.69907536271562887</v>
      </c>
      <c r="P27" s="56">
        <f t="shared" ca="1" si="15"/>
        <v>669.15964183738492</v>
      </c>
      <c r="Q27" s="56">
        <f t="shared" ref="Q27" ca="1" si="249">168+(325*O27)-(12.5*O27^2)</f>
        <v>389.09066334812957</v>
      </c>
      <c r="R27" s="56">
        <f t="shared" ref="R27" ca="1" si="250">I27/P27</f>
        <v>0.38396911666810041</v>
      </c>
      <c r="S27" s="56">
        <f t="shared" ref="S27" ca="1" si="251">(L27+460)/Q27</f>
        <v>1.3910639626829839</v>
      </c>
      <c r="T27" s="56">
        <f t="shared" ref="T27" ca="1" si="252">1-((3.25*R27)/(10^(0.9813*S27)))+((0.274*R27^2)/(10^(0.8157*S27)))</f>
        <v>0.94911954042229807</v>
      </c>
      <c r="U27" s="56">
        <f t="shared" ref="U27" ca="1" si="253">(T27*(L27+460)/I27)*($B$17/(520))</f>
        <v>5.6520602210007063E-2</v>
      </c>
      <c r="V27" s="56">
        <f t="shared" ref="V27" ca="1" si="254">(O27*$B$18)/U27</f>
        <v>0.94495379778557687</v>
      </c>
      <c r="W27" s="56">
        <f t="shared" ref="W27" ca="1" si="255">3.5+(986/(L27+460))+(0.2896*O27)</f>
        <v>5.5241612319708526</v>
      </c>
      <c r="X27" s="56">
        <f t="shared" ca="1" si="22"/>
        <v>1.2951677536058293</v>
      </c>
      <c r="Y27" s="56">
        <f t="shared" ref="Y27" ca="1" si="256">((9.4+(0.5792*O27))*(L27+460)^1.5)/((209+(550.24*O27)+(L27+460)))</f>
        <v>108.78752659021909</v>
      </c>
      <c r="Z27" s="57">
        <f t="shared" ref="Z27" ca="1" si="257">Y27*((10^(-4))*EXP(W27*(O27/62.928)^X27))</f>
        <v>1.1057076198342843E-2</v>
      </c>
      <c r="AA27" s="56">
        <f t="shared" ref="AA27" si="258">0.9759+0.00012*(BT26*((BT27/$B$19)^0.5)+(1.25*L27))^1.2</f>
        <v>1.0066086910564045</v>
      </c>
      <c r="AB27" s="56">
        <v>24</v>
      </c>
      <c r="AC27" s="58">
        <f t="shared" ref="AC27" ca="1" si="259">(($B$19*$B$22)+(N27*$B$18*M27))/AA27</f>
        <v>58.641739663190457</v>
      </c>
      <c r="AD27" s="56">
        <f t="shared" si="27"/>
        <v>0.16498815587413193</v>
      </c>
      <c r="AE27" s="56">
        <f t="shared" ref="AE27" si="260">$B$21*AA27*(5.615/1)*(1/86400)</f>
        <v>0.32708957177556197</v>
      </c>
      <c r="AF27" s="56">
        <f t="shared" ref="AF27" ca="1" si="261">$B$21*($B$16-M27)*U27*(1/86400)</f>
        <v>0.87795178654619255</v>
      </c>
      <c r="AG27" s="56">
        <f t="shared" ref="AG27" si="262">AE27/AD27</f>
        <v>1.9825033502713725</v>
      </c>
      <c r="AH27" s="56">
        <f t="shared" ref="AH27" ca="1" si="263">AF27/AD27</f>
        <v>5.3213018952461928</v>
      </c>
      <c r="AI27" s="56">
        <f t="shared" ref="AI27" ca="1" si="264">AG27+AH27</f>
        <v>7.303805245517565</v>
      </c>
      <c r="AJ27" s="56">
        <f t="shared" ref="AJ27" ca="1" si="265">AE27/(AE27+AF27)</f>
        <v>0.27143431179083793</v>
      </c>
      <c r="AK27" s="56"/>
      <c r="AL27" s="56">
        <f t="shared" ref="AL27" ca="1" si="266">1.071-((0.2218*((AG27+AH27)^2))/($B$5*0.0833333))</f>
        <v>-24.744387043452974</v>
      </c>
      <c r="AM27" s="56">
        <f t="shared" ref="AM27" ca="1" si="267">AH27/(AG27+AH27)</f>
        <v>0.72856568820916212</v>
      </c>
      <c r="AN27" s="56">
        <f t="shared" ref="AN27" ca="1" si="268">AM27-AL27</f>
        <v>25.472952731662136</v>
      </c>
      <c r="AO27" s="56">
        <f t="shared" ref="AO27" ca="1" si="269">(42.4-(0.047*J27)-(0.267*$B$2))*EXP(-0.0007*I27)</f>
        <v>27.149365447874793</v>
      </c>
      <c r="AP27" s="56">
        <f t="shared" ref="AP27" ca="1" si="270">1.938*AG27*(AC27/AO27)^0.25</f>
        <v>4.6577855922682376</v>
      </c>
      <c r="AQ27" s="56">
        <f t="shared" ref="AQ27" ca="1" si="271">1.938*AH27*(AC27/AO27)^0.25</f>
        <v>12.502114206462579</v>
      </c>
      <c r="AR27" s="56">
        <f t="shared" ref="AR27" ca="1" si="272">((120.872*$B$5)/12)*((AC27/AO27)^0.25)</f>
        <v>67.161276533441054</v>
      </c>
      <c r="AS27" s="56">
        <f t="shared" ref="AS27" ca="1" si="273">0.15726*AB27*(1/(AC27*AO27^3)^0.25)</f>
        <v>0.11467217214007062</v>
      </c>
      <c r="AT27" s="56">
        <f t="shared" ca="1" si="42"/>
        <v>7.1068699259960021E-3</v>
      </c>
      <c r="AU27" s="56">
        <f t="shared" ref="AU27" ca="1" si="274">(AP27*AT27*I27^0.1)/((AQ27^0.575)*AR27*$B$17^0.1)</f>
        <v>1.5354097610999489E-4</v>
      </c>
      <c r="AV27" s="56">
        <f t="shared" ca="1" si="44"/>
        <v>0.40975193589607023</v>
      </c>
      <c r="AW27" s="56">
        <f t="shared" ref="AW27" ca="1" si="275">(AQ27*AS27^0.1)/(AR27^2.14)</f>
        <v>1.2384963457314113E-3</v>
      </c>
      <c r="AX27" s="56">
        <f t="shared" ca="1" si="46"/>
        <v>0.97471888049413569</v>
      </c>
      <c r="AY27" s="56">
        <f t="shared" ref="AY27" ca="1" si="276">AV27*AX27</f>
        <v>0.39939294823692245</v>
      </c>
      <c r="AZ27" s="56">
        <f t="shared" ref="AZ27" ca="1" si="277">(V27*(1-AY27))+(AC27*AY27)</f>
        <v>23.988643208364028</v>
      </c>
      <c r="BA27" s="56">
        <f t="shared" ref="BA27" ca="1" si="278">(Z27*(1-AJ27))+(AB27*AJ27)</f>
        <v>6.5224792893101364</v>
      </c>
      <c r="BB27" s="56">
        <f t="shared" ref="BB27" ca="1" si="279">(1488*AZ27*AI27*($B$5/12))/BA27</f>
        <v>18320.044964917244</v>
      </c>
      <c r="BC27" s="56">
        <f t="shared" ca="1" si="177"/>
        <v>2.6685875499159028E-2</v>
      </c>
      <c r="BD27" s="56">
        <f t="shared" ca="1" si="52"/>
        <v>2.6685875499159028E-2</v>
      </c>
      <c r="BE27" s="56">
        <f t="shared" ref="BE27" ca="1" si="280">((BD27*AZ27*(AI27^2))/(144*2*32.2*($B$5/12)))+((AZ27*SIN(90))/144)</f>
        <v>0.15696337919598893</v>
      </c>
      <c r="BF27" s="56">
        <f t="shared" ca="1" si="53"/>
        <v>15.696337919598893</v>
      </c>
      <c r="BG27" s="56">
        <f t="shared" ref="BG27" ca="1" si="281">G27+BF27</f>
        <v>264.76103025772244</v>
      </c>
      <c r="BH27" s="56">
        <f t="shared" ref="BH27" ca="1" si="282">ABS(H27-BG27)/H27</f>
        <v>1.7956584522448743E-4</v>
      </c>
      <c r="BI27" t="str">
        <f t="shared" ca="1" si="65"/>
        <v>Listo</v>
      </c>
    </row>
    <row r="28" spans="1:61" x14ac:dyDescent="0.25">
      <c r="F28" s="26">
        <f t="shared" ca="1" si="67"/>
        <v>1694.0156075319201</v>
      </c>
      <c r="G28" s="56">
        <f ca="1">G27</f>
        <v>249.06469233812356</v>
      </c>
      <c r="H28" s="56">
        <f ca="1">BG27</f>
        <v>264.76103025772244</v>
      </c>
      <c r="I28" s="56">
        <f t="shared" ca="1" si="145"/>
        <v>256.91286129792297</v>
      </c>
      <c r="J28" s="56">
        <f>J27</f>
        <v>80</v>
      </c>
      <c r="K28" s="56">
        <f>K27</f>
        <v>82.5</v>
      </c>
      <c r="L28" s="56">
        <f t="shared" si="110"/>
        <v>81.25</v>
      </c>
      <c r="M28" s="56">
        <f ca="1">EI1</f>
        <v>34.792280738613997</v>
      </c>
      <c r="N28" s="56">
        <f ca="1">EI2</f>
        <v>0.70713312302559428</v>
      </c>
      <c r="O28" s="56">
        <f t="shared" ca="1" si="75"/>
        <v>0.69907540523206713</v>
      </c>
      <c r="P28" s="56">
        <f t="shared" ca="1" si="15"/>
        <v>669.15964024596678</v>
      </c>
      <c r="Q28" s="56">
        <f t="shared" ref="Q28" ca="1" si="283">168+(325*O28)-(12.5*O28^2)</f>
        <v>389.09067642291706</v>
      </c>
      <c r="R28" s="56">
        <f t="shared" ref="R28" ca="1" si="284">I28/P28</f>
        <v>0.38393358751207418</v>
      </c>
      <c r="S28" s="56">
        <f t="shared" ref="S28" ca="1" si="285">(L28+460)/Q28</f>
        <v>1.3910639159384415</v>
      </c>
      <c r="T28" s="56">
        <f t="shared" ref="T28" ca="1" si="286">1-((3.25*R28)/(10^(0.9813*S28)))+((0.274*R28^2)/(10^(0.8157*S28)))</f>
        <v>0.94912396893556095</v>
      </c>
      <c r="U28" s="56">
        <f t="shared" ref="U28" ca="1" si="287">(T28*(L28+460)/I28)*($B$17/(520))</f>
        <v>5.652609649726463E-2</v>
      </c>
      <c r="V28" s="56">
        <f t="shared" ref="V28" ca="1" si="288">(O28*$B$18)/U28</f>
        <v>0.94486200656566599</v>
      </c>
      <c r="W28" s="56">
        <f t="shared" ref="W28" ca="1" si="289">3.5+(986/(L28+460))+(0.2896*O28)</f>
        <v>5.5241612442836132</v>
      </c>
      <c r="X28" s="56">
        <f t="shared" ca="1" si="22"/>
        <v>1.2951677511432773</v>
      </c>
      <c r="Y28" s="56">
        <f t="shared" ref="Y28" ca="1" si="290">((9.4+(0.5792*O28))*(L28+460)^1.5)/((209+(550.24*O28)+(L28+460)))</f>
        <v>108.7875246209727</v>
      </c>
      <c r="Z28" s="57">
        <f t="shared" ref="Z28" ca="1" si="291">Y28*((10^(-4))*EXP(W28*(O28/62.928)^X28))</f>
        <v>1.1057076014744111E-2</v>
      </c>
      <c r="AA28" s="56">
        <f t="shared" ref="AA28" si="292">0.9759+0.00012*(BT27*((BT28/$B$19)^0.5)+(1.25*L28))^1.2</f>
        <v>1.0066086910564045</v>
      </c>
      <c r="AB28" s="56">
        <v>24</v>
      </c>
      <c r="AC28" s="58">
        <f t="shared" ref="AC28" ca="1" si="293">(($B$19*$B$22)+(N28*$B$18*M28))/AA28</f>
        <v>58.641622143296516</v>
      </c>
      <c r="AD28" s="56">
        <f t="shared" si="27"/>
        <v>0.16498815587413193</v>
      </c>
      <c r="AE28" s="56">
        <f t="shared" ref="AE28" si="294">$B$21*AA28*(5.615/1)*(1/86400)</f>
        <v>0.32708957177556197</v>
      </c>
      <c r="AF28" s="56">
        <f t="shared" ref="AF28" ca="1" si="295">$B$21*($B$16-M28)*U28*(1/86400)</f>
        <v>0.87804432294819401</v>
      </c>
      <c r="AG28" s="56">
        <f t="shared" ref="AG28" si="296">AE28/AD28</f>
        <v>1.9825033502713725</v>
      </c>
      <c r="AH28" s="56">
        <f t="shared" ref="AH28" ca="1" si="297">AF28/AD28</f>
        <v>5.3218627621854662</v>
      </c>
      <c r="AI28" s="56">
        <f t="shared" ref="AI28" ca="1" si="298">AG28+AH28</f>
        <v>7.3043661124568384</v>
      </c>
      <c r="AJ28" s="56">
        <f t="shared" ref="AJ28" ca="1" si="299">AE28/(AE28+AF28)</f>
        <v>0.27141346966308527</v>
      </c>
      <c r="AK28" s="56"/>
      <c r="AL28" s="56">
        <f t="shared" ref="AL28" ca="1" si="300">1.071-((0.2218*((AG28+AH28)^2))/($B$5*0.0833333))</f>
        <v>-24.748351977500157</v>
      </c>
      <c r="AM28" s="56">
        <f t="shared" ref="AM28" ca="1" si="301">AH28/(AG28+AH28)</f>
        <v>0.72858653033691467</v>
      </c>
      <c r="AN28" s="56">
        <f t="shared" ref="AN28" ca="1" si="302">AM28-AL28</f>
        <v>25.476938507837072</v>
      </c>
      <c r="AO28" s="56">
        <f t="shared" ref="AO28" ca="1" si="303">(42.4-(0.047*J28)-(0.267*$B$2))*EXP(-0.0007*I28)</f>
        <v>27.149817290428583</v>
      </c>
      <c r="AP28" s="56">
        <f t="shared" ref="AP28" ca="1" si="304">1.938*AG28*(AC28/AO28)^0.25</f>
        <v>4.6577638791950449</v>
      </c>
      <c r="AQ28" s="56">
        <f t="shared" ref="AQ28" ca="1" si="305">1.938*AH28*(AC28/AO28)^0.25</f>
        <v>12.50337364642918</v>
      </c>
      <c r="AR28" s="56">
        <f t="shared" ref="AR28" ca="1" si="306">((120.872*$B$5)/12)*((AC28/AO28)^0.25)</f>
        <v>67.160963449533654</v>
      </c>
      <c r="AS28" s="56">
        <f t="shared" ref="AS28" ca="1" si="307">0.15726*AB28*(1/(AC28*AO28^3)^0.25)</f>
        <v>0.11467079825894359</v>
      </c>
      <c r="AT28" s="56">
        <f t="shared" ca="1" si="42"/>
        <v>7.1068260162448545E-3</v>
      </c>
      <c r="AU28" s="56">
        <f t="shared" ref="AU28" ca="1" si="308">(AP28*AT28*I28^0.1)/((AQ28^0.575)*AR28*$B$17^0.1)</f>
        <v>1.5352971370422041E-4</v>
      </c>
      <c r="AV28" s="56">
        <f t="shared" ca="1" si="44"/>
        <v>0.40973749727636544</v>
      </c>
      <c r="AW28" s="56">
        <f t="shared" ref="AW28" ca="1" si="309">(AQ28*AS28^0.1)/(AR28^2.14)</f>
        <v>1.2386319821149443E-3</v>
      </c>
      <c r="AX28" s="56">
        <f t="shared" ca="1" si="46"/>
        <v>0.97471888049434385</v>
      </c>
      <c r="AY28" s="56">
        <f t="shared" ref="AY28" ca="1" si="310">AV28*AX28</f>
        <v>0.39937887464177318</v>
      </c>
      <c r="AZ28" s="56">
        <f t="shared" ref="AZ28" ca="1" si="311">(V28*(1-AY28))+(AC28*AY28)</f>
        <v>23.987729140449552</v>
      </c>
      <c r="BA28" s="56">
        <f t="shared" ref="BA28" ca="1" si="312">(Z28*(1-AJ28))+(AB28*AJ28)</f>
        <v>6.5219793085633011</v>
      </c>
      <c r="BB28" s="56">
        <f t="shared" ref="BB28" ca="1" si="313">(1488*AZ28*AI28*($B$5/12))/BA28</f>
        <v>18322.158141722062</v>
      </c>
      <c r="BC28" s="56">
        <f t="shared" ca="1" si="177"/>
        <v>2.6685133328672277E-2</v>
      </c>
      <c r="BD28" s="56">
        <f t="shared" ca="1" si="52"/>
        <v>2.6685133328672277E-2</v>
      </c>
      <c r="BE28" s="56">
        <f t="shared" ref="BE28" ca="1" si="314">((BD28*AZ28*(AI28^2))/(144*2*32.2*($B$5/12)))+((AZ28*SIN(90))/144)</f>
        <v>0.15695840870532154</v>
      </c>
      <c r="BF28" s="56">
        <f t="shared" ca="1" si="53"/>
        <v>15.695840870532155</v>
      </c>
      <c r="BG28" s="56">
        <f t="shared" ref="BG28" ca="1" si="315">G28+BF28</f>
        <v>264.76053320865572</v>
      </c>
      <c r="BH28" s="56">
        <f t="shared" ref="BH28" ca="1" si="316">ABS(H28-BG28)/H28</f>
        <v>1.8773497981915449E-6</v>
      </c>
      <c r="BI28" t="str">
        <f t="shared" ca="1" si="65"/>
        <v>Listo</v>
      </c>
    </row>
    <row r="29" spans="1:61" x14ac:dyDescent="0.25">
      <c r="D29" s="25" t="s">
        <v>100</v>
      </c>
      <c r="F29" s="26">
        <f t="shared" ca="1" si="67"/>
        <v>1703.139815183074</v>
      </c>
      <c r="G29" s="59">
        <f ca="1">BG28</f>
        <v>264.76053320865572</v>
      </c>
      <c r="H29" s="59">
        <f ca="1">G29+20</f>
        <v>284.76053320865572</v>
      </c>
      <c r="I29" s="59">
        <f t="shared" ca="1" si="145"/>
        <v>274.76053320865572</v>
      </c>
      <c r="J29" s="59">
        <f>K28</f>
        <v>82.5</v>
      </c>
      <c r="K29" s="59">
        <f>(1000+2400)/40</f>
        <v>85</v>
      </c>
      <c r="L29" s="59">
        <f t="shared" si="110"/>
        <v>83.75</v>
      </c>
      <c r="M29" s="59">
        <f ca="1">EL1</f>
        <v>37.212294477162395</v>
      </c>
      <c r="N29" s="59">
        <f ca="1">EL2</f>
        <v>0.70693371437754071</v>
      </c>
      <c r="O29" s="59">
        <f t="shared" ca="1" si="75"/>
        <v>0.69902999380866671</v>
      </c>
      <c r="P29" s="59">
        <f t="shared" ca="1" si="15"/>
        <v>669.16133994797462</v>
      </c>
      <c r="Q29" s="59">
        <f t="shared" ref="Q29" ca="1" si="317">168+(325*O29)-(12.5*O29^2)</f>
        <v>389.07671133476487</v>
      </c>
      <c r="R29" s="59">
        <f t="shared" ref="R29" ca="1" si="318">I29/P29</f>
        <v>0.41060431439451889</v>
      </c>
      <c r="S29" s="59">
        <f t="shared" ref="S29" ca="1" si="319">(L29+460)/Q29</f>
        <v>1.397539313351893</v>
      </c>
      <c r="T29" s="59">
        <f t="shared" ref="T29" ca="1" si="320">1-((3.25*R29)/(10^(0.9813*S29)))+((0.274*R29^2)/(10^(0.8157*S29)))</f>
        <v>0.94660516627529401</v>
      </c>
      <c r="U29" s="59">
        <f t="shared" ref="U29" ca="1" si="321">(T29*(L29+460)/I29)*($B$17/(520))</f>
        <v>5.2957537320873188E-2</v>
      </c>
      <c r="V29" s="59">
        <f t="shared" ref="V29" ca="1" si="322">(O29*$B$18)/U29</f>
        <v>1.0084662963723623</v>
      </c>
      <c r="W29" s="59">
        <f t="shared" ref="W29" ca="1" si="323">3.5+(986/(L29+460))+(0.2896*O29)</f>
        <v>5.5157724195403235</v>
      </c>
      <c r="X29" s="59">
        <f t="shared" ca="1" si="22"/>
        <v>1.2968455160919352</v>
      </c>
      <c r="Y29" s="59">
        <f t="shared" ref="Y29" ca="1" si="324">((9.4+(0.5792*O29))*(L29+460)^1.5)/((209+(550.24*O29)+(L29+460)))</f>
        <v>109.30345540067289</v>
      </c>
      <c r="Z29" s="60">
        <f t="shared" ref="Z29" ca="1" si="325">Y29*((10^(-4))*EXP(W29*(O29/62.928)^X29))</f>
        <v>1.1107869003436374E-2</v>
      </c>
      <c r="AA29" s="59">
        <f t="shared" ref="AA29" si="326">0.9759+0.00012*(BT28*((BT29/$B$19)^0.5)+(1.25*L29))^1.2</f>
        <v>1.0077460109801504</v>
      </c>
      <c r="AB29" s="59">
        <v>24</v>
      </c>
      <c r="AC29" s="61">
        <f t="shared" ref="AC29" ca="1" si="327">(($B$19*$B$22)+(N29*$B$18*M29))/AA29</f>
        <v>58.704614169584886</v>
      </c>
      <c r="AD29" s="59">
        <f t="shared" si="27"/>
        <v>0.16498815587413193</v>
      </c>
      <c r="AE29" s="59">
        <f t="shared" ref="AE29" si="328">$B$21*AA29*(5.615/1)*(1/86400)</f>
        <v>0.32745913493365419</v>
      </c>
      <c r="AF29" s="59">
        <f t="shared" ref="AF29" ca="1" si="329">$B$21*($B$16-M29)*U29*(1/86400)</f>
        <v>0.8151957996233975</v>
      </c>
      <c r="AG29" s="59">
        <f t="shared" ref="AG29" si="330">AE29/AD29</f>
        <v>1.9847432877755782</v>
      </c>
      <c r="AH29" s="59">
        <f t="shared" ref="AH29" ca="1" si="331">AF29/AD29</f>
        <v>4.9409352768649857</v>
      </c>
      <c r="AI29" s="59">
        <f t="shared" ref="AI29" ca="1" si="332">AG29+AH29</f>
        <v>6.9256785646405641</v>
      </c>
      <c r="AJ29" s="59">
        <f t="shared" ref="AJ29" ca="1" si="333">AE29/(AE29+AF29)</f>
        <v>0.28657744786320222</v>
      </c>
      <c r="AK29" s="59"/>
      <c r="AL29" s="59">
        <f t="shared" ref="AL29" ca="1" si="334">1.071-((0.2218*((AG29+AH29)^2))/($B$5*0.0833333))</f>
        <v>-22.140592332354949</v>
      </c>
      <c r="AM29" s="59">
        <f t="shared" ref="AM29" ca="1" si="335">AH29/(AG29+AH29)</f>
        <v>0.71342255213679784</v>
      </c>
      <c r="AN29" s="59">
        <f t="shared" ref="AN29" ca="1" si="336">AM29-AL29</f>
        <v>22.854014884491747</v>
      </c>
      <c r="AO29" s="59">
        <f t="shared" ref="AO29" ca="1" si="337">(42.4-(0.047*J29)-(0.267*$B$2))*EXP(-0.0007*I29)</f>
        <v>26.715793271296068</v>
      </c>
      <c r="AP29" s="59">
        <f t="shared" ref="AP29" ca="1" si="338">1.938*AG29*(AC29/AO29)^0.25</f>
        <v>4.6831078072014938</v>
      </c>
      <c r="AQ29" s="59">
        <f t="shared" ref="AQ29" ca="1" si="339">1.938*AH29*(AC29/AO29)^0.25</f>
        <v>11.658400717352665</v>
      </c>
      <c r="AR29" s="59">
        <f t="shared" ref="AR29" ca="1" si="340">((120.872*$B$5)/12)*((AC29/AO29)^0.25)</f>
        <v>67.45019236454867</v>
      </c>
      <c r="AS29" s="59">
        <f t="shared" ref="AS29" ca="1" si="341">0.15726*AB29*(1/(AC29*AO29^3)^0.25)</f>
        <v>0.1160340358268102</v>
      </c>
      <c r="AT29" s="59">
        <f t="shared" ca="1" si="42"/>
        <v>7.1502060648890534E-3</v>
      </c>
      <c r="AU29" s="59">
        <f t="shared" ref="AU29" ca="1" si="342">(AP29*AT29*I29^0.1)/((AQ29^0.575)*AR29*$B$17^0.1)</f>
        <v>1.6207491776757996E-4</v>
      </c>
      <c r="AV29" s="59">
        <f t="shared" ca="1" si="44"/>
        <v>0.42048129094775316</v>
      </c>
      <c r="AW29" s="59">
        <f t="shared" ref="AW29" ca="1" si="343">(AQ29*AS29^0.1)/(AR29^2.14)</f>
        <v>1.1457067881916235E-3</v>
      </c>
      <c r="AX29" s="59">
        <f t="shared" ca="1" si="46"/>
        <v>0.97471888036623588</v>
      </c>
      <c r="AY29" s="59">
        <f t="shared" ref="AY29" ca="1" si="344">AV29*AX29</f>
        <v>0.40985105312754344</v>
      </c>
      <c r="AZ29" s="59">
        <f t="shared" ref="AZ29" ca="1" si="345">(V29*(1-AY29))+(AC29*AY29)</f>
        <v>24.655293263610989</v>
      </c>
      <c r="BA29" s="59">
        <f t="shared" ref="BA29" ca="1" si="346">(Z29*(1-AJ29))+(AB29*AJ29)</f>
        <v>6.885783352970086</v>
      </c>
      <c r="BB29" s="59">
        <f t="shared" ref="BB29" ca="1" si="347">(1488*AZ29*AI29*($B$5/12))/BA29</f>
        <v>16912.333110680611</v>
      </c>
      <c r="BC29" s="59">
        <f t="shared" ca="1" si="177"/>
        <v>2.7208114298399935E-2</v>
      </c>
      <c r="BD29" s="59">
        <f t="shared" ca="1" si="52"/>
        <v>2.7208114298399935E-2</v>
      </c>
      <c r="BE29" s="59">
        <f t="shared" ref="BE29" ca="1" si="348">((BD29*AZ29*(AI29^2))/(144*2*32.2*($B$5/12)))+((AZ29*SIN(90))/144)</f>
        <v>0.16063784016429031</v>
      </c>
      <c r="BF29" s="59">
        <f t="shared" ca="1" si="53"/>
        <v>16.063784016429032</v>
      </c>
      <c r="BG29" s="59">
        <f t="shared" ref="BG29" ca="1" si="349">G29+BF29</f>
        <v>280.82431722508477</v>
      </c>
      <c r="BH29" s="59">
        <f t="shared" ref="BH29" ca="1" si="350">ABS(H29-BG29)/H29</f>
        <v>1.3822898627200981E-2</v>
      </c>
      <c r="BI29" t="str">
        <f t="shared" ca="1" si="65"/>
        <v>Repetir</v>
      </c>
    </row>
    <row r="30" spans="1:61" x14ac:dyDescent="0.25">
      <c r="F30" s="26">
        <f t="shared" ca="1" si="67"/>
        <v>1703.1288572651442</v>
      </c>
      <c r="G30" s="59">
        <f ca="1">G29</f>
        <v>264.76053320865572</v>
      </c>
      <c r="H30" s="59">
        <f ca="1">BG29</f>
        <v>280.82431722508477</v>
      </c>
      <c r="I30" s="59">
        <f t="shared" ref="I30:I41" ca="1" si="351">(G30+H30)/2</f>
        <v>272.79242521687024</v>
      </c>
      <c r="J30" s="59">
        <f>J29</f>
        <v>82.5</v>
      </c>
      <c r="K30" s="59">
        <f>(1000+2400)/40</f>
        <v>85</v>
      </c>
      <c r="L30" s="59">
        <f t="shared" ref="L30" si="352">(J30+K30)/2</f>
        <v>83.75</v>
      </c>
      <c r="M30" s="59">
        <f ca="1">EO1</f>
        <v>36.919858175912353</v>
      </c>
      <c r="N30" s="59">
        <f ca="1">EO2</f>
        <v>0.70695781107027644</v>
      </c>
      <c r="O30" s="59">
        <f t="shared" ref="O30" ca="1" si="353">(ABS(($B$16*$B$8)-(M30*N30)))/($B$16-M30)</f>
        <v>0.6990353326782216</v>
      </c>
      <c r="P30" s="59">
        <f t="shared" ref="P30" ca="1" si="354">677+(15*O30)-(37.5*O30^2)</f>
        <v>669.16114012770254</v>
      </c>
      <c r="Q30" s="59">
        <f t="shared" ref="Q30" ca="1" si="355">168+(325*O30)-(12.5*O30^2)</f>
        <v>389.07835316626517</v>
      </c>
      <c r="R30" s="59">
        <f t="shared" ref="R30" ca="1" si="356">I30/P30</f>
        <v>0.4076632799758973</v>
      </c>
      <c r="S30" s="59">
        <f t="shared" ref="S30" ca="1" si="357">(L30+460)/Q30</f>
        <v>1.3975334160202917</v>
      </c>
      <c r="T30" s="59">
        <f t="shared" ref="T30" ca="1" si="358">1-((3.25*R30)/(10^(0.9813*S30)))+((0.274*R30^2)/(10^(0.8157*S30)))</f>
        <v>0.94696310303097864</v>
      </c>
      <c r="U30" s="59">
        <f t="shared" ref="U30" ca="1" si="359">(T30*(L30+460)/I30)*($B$17/(520))</f>
        <v>5.3359777739831173E-2</v>
      </c>
      <c r="V30" s="59">
        <f t="shared" ref="V30" ca="1" si="360">(O30*$B$18)/U30</f>
        <v>1.0008718491484687</v>
      </c>
      <c r="W30" s="59">
        <f t="shared" ref="W30" ca="1" si="361">3.5+(986/(L30+460))+(0.2896*O30)</f>
        <v>5.5157739656769467</v>
      </c>
      <c r="X30" s="59">
        <f t="shared" ref="X30" ca="1" si="362">2.4-(0.2*W30)</f>
        <v>1.2968452068646106</v>
      </c>
      <c r="Y30" s="59">
        <f t="shared" ref="Y30" ca="1" si="363">((9.4+(0.5792*O30))*(L30+460)^1.5)/((209+(550.24*O30)+(L30+460)))</f>
        <v>109.30320756233314</v>
      </c>
      <c r="Z30" s="60">
        <f t="shared" ref="Z30" ca="1" si="364">Y30*((10^(-4))*EXP(W30*(O30/62.928)^X30))</f>
        <v>1.1107845888790414E-2</v>
      </c>
      <c r="AA30" s="59">
        <f t="shared" ref="AA30" si="365">0.9759+0.00012*(BT29*((BT30/$B$19)^0.5)+(1.25*L30))^1.2</f>
        <v>1.0077460109801504</v>
      </c>
      <c r="AB30" s="59">
        <v>24</v>
      </c>
      <c r="AC30" s="61">
        <f t="shared" ref="AC30" ca="1" si="366">(($B$19*$B$22)+(N30*$B$18*M30))/AA30</f>
        <v>58.68900861203344</v>
      </c>
      <c r="AD30" s="59">
        <f t="shared" si="27"/>
        <v>0.16498815587413193</v>
      </c>
      <c r="AE30" s="59">
        <f t="shared" ref="AE30" si="367">$B$21*AA30*(5.615/1)*(1/86400)</f>
        <v>0.32745913493365419</v>
      </c>
      <c r="AF30" s="59">
        <f t="shared" ref="AF30" ca="1" si="368">$B$21*($B$16-M30)*U30*(1/86400)</f>
        <v>0.82229067025702784</v>
      </c>
      <c r="AG30" s="59">
        <f t="shared" ref="AG30" si="369">AE30/AD30</f>
        <v>1.9847432877755782</v>
      </c>
      <c r="AH30" s="59">
        <f t="shared" ref="AH30" ca="1" si="370">AF30/AD30</f>
        <v>4.9839375796426655</v>
      </c>
      <c r="AI30" s="59">
        <f t="shared" ref="AI30" ca="1" si="371">AG30+AH30</f>
        <v>6.9686808674182439</v>
      </c>
      <c r="AJ30" s="59">
        <f t="shared" ref="AJ30" ca="1" si="372">AE30/(AE30+AF30)</f>
        <v>0.2848090371099008</v>
      </c>
      <c r="AK30" s="59"/>
      <c r="AL30" s="59">
        <f t="shared" ref="AL30" ca="1" si="373">1.071-((0.2218*((AG30+AH30)^2))/($B$5*0.0833333))</f>
        <v>-22.429733888613764</v>
      </c>
      <c r="AM30" s="59">
        <f t="shared" ref="AM30" ca="1" si="374">AH30/(AG30+AH30)</f>
        <v>0.7151909628900992</v>
      </c>
      <c r="AN30" s="59">
        <f t="shared" ref="AN30" ca="1" si="375">AM30-AL30</f>
        <v>23.144924851503863</v>
      </c>
      <c r="AO30" s="59">
        <f t="shared" ref="AO30" ca="1" si="376">(42.4-(0.047*J30)-(0.267*$B$2))*EXP(-0.0007*I30)</f>
        <v>26.752624332468589</v>
      </c>
      <c r="AP30" s="59">
        <f t="shared" ref="AP30" ca="1" si="377">1.938*AG30*(AC30/AO30)^0.25</f>
        <v>4.6811839804272521</v>
      </c>
      <c r="AQ30" s="59">
        <f t="shared" ref="AQ30" ca="1" si="378">1.938*AH30*(AC30/AO30)^0.25</f>
        <v>11.75503597919748</v>
      </c>
      <c r="AR30" s="59">
        <f t="shared" ref="AR30" ca="1" si="379">((120.872*$B$5)/12)*((AC30/AO30)^0.25)</f>
        <v>67.422483737854421</v>
      </c>
      <c r="AS30" s="59">
        <f t="shared" ref="AS30" ca="1" si="380">0.15726*AB30*(1/(AC30*AO30^3)^0.25)</f>
        <v>0.115921909503819</v>
      </c>
      <c r="AT30" s="59">
        <f t="shared" ref="AT30" ca="1" si="381">0.0104*(1.163-EXP(-6.407*AS30))</f>
        <v>7.1466523377892097E-3</v>
      </c>
      <c r="AU30" s="59">
        <f t="shared" ref="AU30" ca="1" si="382">(AP30*AT30*I30^0.1)/((AQ30^0.575)*AR30*$B$17^0.1)</f>
        <v>1.6111142434096446E-4</v>
      </c>
      <c r="AV30" s="59">
        <f t="shared" ref="AV30" ca="1" si="383">(0.0745*0.000841+1.0728*(AU30^0.884))/(0.000841+AU30^0.884)</f>
        <v>0.41929065605672422</v>
      </c>
      <c r="AW30" s="59">
        <f t="shared" ref="AW30" ca="1" si="384">(AQ30*AS30^0.1)/(AR30^2.14)</f>
        <v>1.156107866730731E-3</v>
      </c>
      <c r="AX30" s="59">
        <f t="shared" ref="AX30" ca="1" si="385">(0.97471888*0.0102865321+1.7467011*(AW30^3.8462632))/(0.0102865321+AW30^3.8462632)</f>
        <v>0.97471888037918986</v>
      </c>
      <c r="AY30" s="59">
        <f t="shared" ref="AY30" ca="1" si="386">AV30*AX30</f>
        <v>0.40869051882506618</v>
      </c>
      <c r="AZ30" s="59">
        <f t="shared" ref="AZ30" ca="1" si="387">(V30*(1-AY30))+(AC30*AY30)</f>
        <v>24.5774663928233</v>
      </c>
      <c r="BA30" s="59">
        <f t="shared" ref="BA30" ca="1" si="388">(Z30*(1-AJ30))+(AB30*AJ30)</f>
        <v>6.8433611216344579</v>
      </c>
      <c r="BB30" s="59">
        <f t="shared" ref="BB30" ca="1" si="389">(1488*AZ30*AI30*($B$5/12))/BA30</f>
        <v>17068.784832768921</v>
      </c>
      <c r="BC30" s="59">
        <f t="shared" ref="BC30:BC36" ca="1" si="390">BD30</f>
        <v>2.7147168022677054E-2</v>
      </c>
      <c r="BD30" s="59">
        <f t="shared" ca="1" si="52"/>
        <v>2.7147168022677054E-2</v>
      </c>
      <c r="BE30" s="59">
        <f t="shared" ref="BE30" ca="1" si="391">((BD30*AZ30*(AI30^2))/(144*2*32.2*($B$5/12)))+((AZ30*SIN(90))/144)</f>
        <v>0.16020765854006086</v>
      </c>
      <c r="BF30" s="59">
        <f t="shared" ref="BF30" ca="1" si="392">BE30*100</f>
        <v>16.020765854006086</v>
      </c>
      <c r="BG30" s="59">
        <f t="shared" ref="BG30" ca="1" si="393">G30+BF30</f>
        <v>280.78129906266179</v>
      </c>
      <c r="BH30" s="59">
        <f t="shared" ref="BH30" ca="1" si="394">ABS(H30-BG30)/H30</f>
        <v>1.5318531830882027E-4</v>
      </c>
      <c r="BI30" t="str">
        <f t="shared" ca="1" si="65"/>
        <v>Listo</v>
      </c>
    </row>
    <row r="31" spans="1:61" x14ac:dyDescent="0.25">
      <c r="F31" s="26">
        <f t="shared" ca="1" si="67"/>
        <v>1703.1287371206079</v>
      </c>
      <c r="G31" s="59">
        <f ca="1">G30</f>
        <v>264.76053320865572</v>
      </c>
      <c r="H31" s="59">
        <f ca="1">BG30</f>
        <v>280.78129906266179</v>
      </c>
      <c r="I31" s="59">
        <f t="shared" ca="1" si="351"/>
        <v>272.77091613565875</v>
      </c>
      <c r="J31" s="59">
        <f>J30</f>
        <v>82.5</v>
      </c>
      <c r="K31" s="59">
        <f>(1000+2400)/40</f>
        <v>85</v>
      </c>
      <c r="L31" s="59">
        <f t="shared" ref="L31:L37" si="395">(J31+K31)/2</f>
        <v>83.75</v>
      </c>
      <c r="M31" s="59">
        <f ca="1">ER1</f>
        <v>36.916664288117794</v>
      </c>
      <c r="N31" s="59">
        <f ca="1">ER2</f>
        <v>0.70695807424599189</v>
      </c>
      <c r="O31" s="59">
        <f t="shared" ref="O31" ca="1" si="396">(ABS(($B$16*$B$8)-(M31*N31)))/($B$16-M31)</f>
        <v>0.69903539121493818</v>
      </c>
      <c r="P31" s="59">
        <f t="shared" ref="P31" ca="1" si="397">677+(15*O31)-(37.5*O31^2)</f>
        <v>669.16113793681075</v>
      </c>
      <c r="Q31" s="59">
        <f t="shared" ref="Q31" ca="1" si="398">168+(325*O31)-(12.5*O31^2)</f>
        <v>389.07837116771714</v>
      </c>
      <c r="R31" s="59">
        <f t="shared" ref="R31" ca="1" si="399">I31/P31</f>
        <v>0.40763113795980283</v>
      </c>
      <c r="S31" s="59">
        <f t="shared" ref="S31" ca="1" si="400">(L31+460)/Q31</f>
        <v>1.397533351360746</v>
      </c>
      <c r="T31" s="59">
        <f t="shared" ref="T31" ca="1" si="401">1-((3.25*R31)/(10^(0.9813*S31)))+((0.274*R31^2)/(10^(0.8157*S31)))</f>
        <v>0.94696701678065998</v>
      </c>
      <c r="U31" s="59">
        <f t="shared" ref="U31" ca="1" si="402">(T31*(L31+460)/I31)*($B$17/(520))</f>
        <v>5.3364205923008536E-2</v>
      </c>
      <c r="V31" s="59">
        <f t="shared" ref="V31" ca="1" si="403">(O31*$B$18)/U31</f>
        <v>1.0007888802069589</v>
      </c>
      <c r="W31" s="59">
        <f t="shared" ref="W31" ca="1" si="404">3.5+(986/(L31+460))+(0.2896*O31)</f>
        <v>5.5157739826291792</v>
      </c>
      <c r="X31" s="59">
        <f t="shared" ref="X31" ca="1" si="405">2.4-(0.2*W31)</f>
        <v>1.296845203474164</v>
      </c>
      <c r="Y31" s="59">
        <f t="shared" ref="Y31" ca="1" si="406">((9.4+(0.5792*O31))*(L31+460)^1.5)/((209+(550.24*O31)+(L31+460)))</f>
        <v>109.30320484497797</v>
      </c>
      <c r="Z31" s="60">
        <f t="shared" ref="Z31" ca="1" si="407">Y31*((10^(-4))*EXP(W31*(O31/62.928)^X31))</f>
        <v>1.1107845635356313E-2</v>
      </c>
      <c r="AA31" s="59">
        <f t="shared" ref="AA31" si="408">0.9759+0.00012*(BT30*((BT31/$B$19)^0.5)+(1.25*L31))^1.2</f>
        <v>1.0077460109801504</v>
      </c>
      <c r="AB31" s="59">
        <v>24</v>
      </c>
      <c r="AC31" s="61">
        <f t="shared" ref="AC31" ca="1" si="409">(($B$19*$B$22)+(N31*$B$18*M31))/AA31</f>
        <v>58.688838167651213</v>
      </c>
      <c r="AD31" s="59">
        <f t="shared" si="27"/>
        <v>0.16498815587413193</v>
      </c>
      <c r="AE31" s="59">
        <f t="shared" ref="AE31" si="410">$B$21*AA31*(5.615/1)*(1/86400)</f>
        <v>0.32745913493365419</v>
      </c>
      <c r="AF31" s="59">
        <f t="shared" ref="AF31" ca="1" si="411">$B$21*($B$16-M31)*U31*(1/86400)</f>
        <v>0.8223687733132945</v>
      </c>
      <c r="AG31" s="59">
        <f t="shared" ref="AG31" si="412">AE31/AD31</f>
        <v>1.9847432877755782</v>
      </c>
      <c r="AH31" s="59">
        <f t="shared" ref="AH31" ca="1" si="413">AF31/AD31</f>
        <v>4.9844109654796842</v>
      </c>
      <c r="AI31" s="59">
        <f t="shared" ref="AI31" ca="1" si="414">AG31+AH31</f>
        <v>6.9691542532552626</v>
      </c>
      <c r="AJ31" s="59">
        <f t="shared" ref="AJ31" ca="1" si="415">AE31/(AE31+AF31)</f>
        <v>0.28478969120944814</v>
      </c>
      <c r="AK31" s="59"/>
      <c r="AL31" s="59">
        <f t="shared" ref="AL31" ca="1" si="416">1.071-((0.2218*((AG31+AH31)^2))/($B$5*0.0833333))</f>
        <v>-22.432926829330807</v>
      </c>
      <c r="AM31" s="59">
        <f t="shared" ref="AM31" ca="1" si="417">AH31/(AG31+AH31)</f>
        <v>0.71521030879055181</v>
      </c>
      <c r="AN31" s="59">
        <f t="shared" ref="AN31" ca="1" si="418">AM31-AL31</f>
        <v>23.14813713812136</v>
      </c>
      <c r="AO31" s="59">
        <f t="shared" ref="AO31" ca="1" si="419">(42.4-(0.047*J31)-(0.267*$B$2))*EXP(-0.0007*I31)</f>
        <v>26.753027132559502</v>
      </c>
      <c r="AP31" s="59">
        <f t="shared" ref="AP31" ca="1" si="420">1.938*AG31*(AC31/AO31)^0.25</f>
        <v>4.6811629613064758</v>
      </c>
      <c r="AQ31" s="59">
        <f t="shared" ref="AQ31" ca="1" si="421">1.938*AH31*(AC31/AO31)^0.25</f>
        <v>11.756099712867085</v>
      </c>
      <c r="AR31" s="59">
        <f t="shared" ref="AR31" ca="1" si="422">((120.872*$B$5)/12)*((AC31/AO31)^0.25)</f>
        <v>67.422181002192957</v>
      </c>
      <c r="AS31" s="59">
        <f t="shared" ref="AS31" ca="1" si="423">0.15726*AB31*(1/(AC31*AO31^3)^0.25)</f>
        <v>0.11592068465417085</v>
      </c>
      <c r="AT31" s="59">
        <f t="shared" ref="AT31" ca="1" si="424">0.0104*(1.163-EXP(-6.407*AS31))</f>
        <v>7.1466135033563197E-3</v>
      </c>
      <c r="AU31" s="59">
        <f t="shared" ref="AU31" ca="1" si="425">(AP31*AT31*I31^0.1)/((AQ31^0.575)*AR31*$B$17^0.1)</f>
        <v>1.6110089614435679E-4</v>
      </c>
      <c r="AV31" s="59">
        <f t="shared" ref="AV31" ca="1" si="426">(0.0745*0.000841+1.0728*(AU31^0.884))/(0.000841+AU31^0.884)</f>
        <v>0.4192776172921569</v>
      </c>
      <c r="AW31" s="59">
        <f t="shared" ref="AW31" ca="1" si="427">(AQ31*AS31^0.1)/(AR31^2.14)</f>
        <v>1.1562223732350747E-3</v>
      </c>
      <c r="AX31" s="59">
        <f t="shared" ref="AX31" ca="1" si="428">(0.97471888*0.0102865321+1.7467011*(AW31^3.8462632))/(0.0102865321+AW31^3.8462632)</f>
        <v>0.97471888037933463</v>
      </c>
      <c r="AY31" s="59">
        <f t="shared" ref="AY31" ca="1" si="429">AV31*AX31</f>
        <v>0.40867780969512635</v>
      </c>
      <c r="AZ31" s="59">
        <f t="shared" ref="AZ31" ca="1" si="430">(V31*(1-AY31))+(AC31*AY31)</f>
        <v>24.576614508584171</v>
      </c>
      <c r="BA31" s="59">
        <f t="shared" ref="BA31" ca="1" si="431">(Z31*(1-AJ31))+(AB31*AJ31)</f>
        <v>6.8428970347336167</v>
      </c>
      <c r="BB31" s="59">
        <f t="shared" ref="BB31" ca="1" si="432">(1488*AZ31*AI31*($B$5/12))/BA31</f>
        <v>17070.510306477423</v>
      </c>
      <c r="BC31" s="59">
        <f t="shared" ca="1" si="390"/>
        <v>2.7146500144688238E-2</v>
      </c>
      <c r="BD31" s="59">
        <f t="shared" ca="1" si="52"/>
        <v>2.7146500144688238E-2</v>
      </c>
      <c r="BE31" s="59">
        <f t="shared" ref="BE31" ca="1" si="433">((BD31*AZ31*(AI31^2))/(144*2*32.2*($B$5/12)))+((AZ31*SIN(90))/144)</f>
        <v>0.1602029536721436</v>
      </c>
      <c r="BF31" s="59">
        <f t="shared" ref="BF31" ca="1" si="434">BE31*100</f>
        <v>16.020295367214359</v>
      </c>
      <c r="BG31" s="59">
        <f t="shared" ref="BG31" ca="1" si="435">G31+BF31</f>
        <v>280.78082857587009</v>
      </c>
      <c r="BH31" s="59">
        <f t="shared" ref="BH31" ca="1" si="436">ABS(H31-BG31)/H31</f>
        <v>1.6756343576623972E-6</v>
      </c>
      <c r="BI31" t="str">
        <f t="shared" ca="1" si="65"/>
        <v>Listo</v>
      </c>
    </row>
    <row r="32" spans="1:61" x14ac:dyDescent="0.25">
      <c r="D32" s="25" t="s">
        <v>101</v>
      </c>
      <c r="F32" s="26">
        <f t="shared" ca="1" si="67"/>
        <v>1712.207608681812</v>
      </c>
      <c r="G32" s="59">
        <f ca="1">BG31</f>
        <v>280.78082857587009</v>
      </c>
      <c r="H32" s="59">
        <f ca="1">G32+20</f>
        <v>300.78082857587009</v>
      </c>
      <c r="I32" s="59">
        <f t="shared" ca="1" si="351"/>
        <v>290.78082857587009</v>
      </c>
      <c r="J32" s="59">
        <f>K31</f>
        <v>85</v>
      </c>
      <c r="K32">
        <f>(1100+2400)/40</f>
        <v>87.5</v>
      </c>
      <c r="L32" s="59">
        <f t="shared" si="395"/>
        <v>86.25</v>
      </c>
      <c r="M32">
        <f ca="1">EU1</f>
        <v>36.9167097022668</v>
      </c>
      <c r="N32">
        <f ca="1">EU2</f>
        <v>0.70695807050387516</v>
      </c>
      <c r="O32" s="59">
        <f t="shared" ref="O32" ca="1" si="437">(ABS(($B$16*$B$8)-(M32*N32)))/($B$16-M32)</f>
        <v>0.69903539038256546</v>
      </c>
      <c r="P32" s="59">
        <f t="shared" ref="P32" ca="1" si="438">677+(15*O32)-(37.5*O32^2)</f>
        <v>669.16113796796458</v>
      </c>
      <c r="Q32" s="59">
        <f t="shared" ref="Q32" ca="1" si="439">168+(325*O32)-(12.5*O32^2)</f>
        <v>389.07837091174247</v>
      </c>
      <c r="R32" s="59">
        <f t="shared" ref="R32" ca="1" si="440">I32/P32</f>
        <v>0.43454530168754502</v>
      </c>
      <c r="S32" s="59">
        <f t="shared" ref="S32" ca="1" si="441">(L32+460)/Q32</f>
        <v>1.4039587929803221</v>
      </c>
      <c r="T32" s="59">
        <f t="shared" ref="T32" ca="1" si="442">1-((3.25*R32)/(10^(0.9813*S32)))+((0.274*R32^2)/(10^(0.8157*S32)))</f>
        <v>0.9445182195733518</v>
      </c>
      <c r="U32" s="59">
        <f t="shared" ref="U32" ca="1" si="443">(T32*(L32+460)/I32)*($B$17/(520))</f>
        <v>5.0159131850014048E-2</v>
      </c>
      <c r="V32" s="59">
        <f t="shared" ref="V32" ca="1" si="444">(O32*$B$18)/U32</f>
        <v>1.0647374038474919</v>
      </c>
      <c r="W32" s="59">
        <f t="shared" ref="W32" ca="1" si="445">3.5+(986/(L32+460))+(0.2896*O32)</f>
        <v>5.5074749739975832</v>
      </c>
      <c r="X32" s="59">
        <f t="shared" ref="X32" ca="1" si="446">2.4-(0.2*W32)</f>
        <v>1.2985050052004832</v>
      </c>
      <c r="Y32" s="59">
        <f t="shared" ref="Y32" ca="1" si="447">((9.4+(0.5792*O32))*(L32+460)^1.5)/((209+(550.24*O32)+(L32+460)))</f>
        <v>109.81650699149131</v>
      </c>
      <c r="Z32" s="60">
        <f t="shared" ref="Z32" ca="1" si="448">Y32*((10^(-4))*EXP(W32*(O32/62.928)^X32))</f>
        <v>1.1158403182177819E-2</v>
      </c>
      <c r="AA32" s="59">
        <f t="shared" ref="AA32" si="449">0.9759+0.00012*(BT31*((BT32/$B$19)^0.5)+(1.25*L32))^1.2</f>
        <v>1.0088901420958314</v>
      </c>
      <c r="AB32" s="42">
        <v>24</v>
      </c>
      <c r="AC32" s="61">
        <f t="shared" ref="AC32" ca="1" si="450">(($B$19*$B$22)+(N32*$B$18*M32))/AA32</f>
        <v>58.622284555168697</v>
      </c>
      <c r="AD32" s="59">
        <f t="shared" si="27"/>
        <v>0.16498815587413193</v>
      </c>
      <c r="AE32" s="59">
        <f t="shared" ref="AE32" si="451">$B$21*AA32*(5.615/1)*(1/86400)</f>
        <v>0.32783091133495912</v>
      </c>
      <c r="AF32" s="59">
        <f t="shared" ref="AF32" ca="1" si="452">$B$21*($B$16-M32)*U32*(1/86400)</f>
        <v>0.7729768668297492</v>
      </c>
      <c r="AG32" s="59">
        <f t="shared" ref="AG32" si="453">AE32/AD32</f>
        <v>1.9869966398379442</v>
      </c>
      <c r="AH32" s="59">
        <f t="shared" ref="AH32" ca="1" si="454">AF32/AD32</f>
        <v>4.6850445884094052</v>
      </c>
      <c r="AI32" s="59">
        <f t="shared" ref="AI32" ca="1" si="455">AG32+AH32</f>
        <v>6.6720412282473491</v>
      </c>
      <c r="AJ32" s="59">
        <f t="shared" ref="AJ32" ca="1" si="456">AE32/(AE32+AF32)</f>
        <v>0.29780940672632805</v>
      </c>
      <c r="AK32" s="59"/>
      <c r="AL32" s="59">
        <f t="shared" ref="AL32" ca="1" si="457">1.071-((0.2218*((AG32+AH32)^2))/($B$5*0.0833333))</f>
        <v>-20.471580009296087</v>
      </c>
      <c r="AM32" s="59">
        <f t="shared" ref="AM32" ca="1" si="458">AH32/(AG32+AH32)</f>
        <v>0.70219059327367195</v>
      </c>
      <c r="AN32" s="59">
        <f t="shared" ref="AN32" ca="1" si="459">AM32-AL32</f>
        <v>21.173770602569761</v>
      </c>
      <c r="AO32" s="59">
        <f t="shared" ref="AO32" ca="1" si="460">(42.4-(0.047*J32)-(0.267*$B$2))*EXP(-0.0007*I32)</f>
        <v>26.322010164395618</v>
      </c>
      <c r="AP32" s="59">
        <f t="shared" ref="AP32" ca="1" si="461">1.938*AG32*(AC32/AO32)^0.25</f>
        <v>4.7042113680604594</v>
      </c>
      <c r="AQ32" s="59">
        <f t="shared" ref="AQ32" ca="1" si="462">1.938*AH32*(AC32/AO32)^0.25</f>
        <v>11.091835572738137</v>
      </c>
      <c r="AR32" s="59">
        <f t="shared" ref="AR32" ca="1" si="463">((120.872*$B$5)/12)*((AC32/AO32)^0.25)</f>
        <v>67.67730766865931</v>
      </c>
      <c r="AS32" s="59">
        <f t="shared" ref="AS32" ca="1" si="464">0.15726*AB32*(1/(AC32*AO32^3)^0.25)</f>
        <v>0.11737471178669778</v>
      </c>
      <c r="AT32" s="59">
        <f t="shared" ref="AT32" ca="1" si="465">0.0104*(1.163-EXP(-6.407*AS32))</f>
        <v>7.1925002257143666E-3</v>
      </c>
      <c r="AU32" s="59">
        <f t="shared" ref="AU32" ca="1" si="466">(AP32*AT32*I32^0.1)/((AQ32^0.575)*AR32*$B$17^0.1)</f>
        <v>1.6891628186090278E-4</v>
      </c>
      <c r="AV32" s="59">
        <f t="shared" ref="AV32" ca="1" si="467">(0.0745*0.000841+1.0728*(AU32^0.884))/(0.000841+AU32^0.884)</f>
        <v>0.42878965193522633</v>
      </c>
      <c r="AW32" s="59">
        <f t="shared" ref="AW32" ca="1" si="468">(AQ32*AS32^0.1)/(AR32^2.14)</f>
        <v>1.0834595448195883E-3</v>
      </c>
      <c r="AX32" s="59">
        <f t="shared" ref="AX32" ca="1" si="469">(0.97471888*0.0102865321+1.7467011*(AW32^3.8462632))/(0.0102865321+AW32^3.8462632)</f>
        <v>0.97471888029542508</v>
      </c>
      <c r="AY32" s="59">
        <f t="shared" ref="AY32" ca="1" si="470">AV32*AX32</f>
        <v>0.41794936941656885</v>
      </c>
      <c r="AZ32" s="59">
        <f t="shared" ref="AZ32" ca="1" si="471">(V32*(1-AY32))+(AC32*AY32)</f>
        <v>25.120877940906617</v>
      </c>
      <c r="BA32" s="59">
        <f t="shared" ref="BA32" ca="1" si="472">(Z32*(1-AJ32))+(AB32*AJ32)</f>
        <v>7.1552610871823532</v>
      </c>
      <c r="BB32" s="59">
        <f t="shared" ref="BB32" ca="1" si="473">(1488*AZ32*AI32*($B$5/12))/BA32</f>
        <v>15975.425120853972</v>
      </c>
      <c r="BC32">
        <f t="shared" ca="1" si="390"/>
        <v>2.7590046446105639E-2</v>
      </c>
      <c r="BD32" s="59">
        <f t="shared" ca="1" si="52"/>
        <v>2.7590046446105639E-2</v>
      </c>
      <c r="BE32" s="59">
        <f t="shared" ref="BE32" ca="1" si="474">((BD32*AZ32*(AI32^2))/(144*2*32.2*($B$5/12)))+((AZ32*SIN(90))/144)</f>
        <v>0.16321716989062382</v>
      </c>
      <c r="BF32" s="59">
        <f t="shared" ref="BF32" ca="1" si="475">BE32*100</f>
        <v>16.321716989062381</v>
      </c>
      <c r="BG32" s="59">
        <f t="shared" ref="BG32" ca="1" si="476">G32+BF32</f>
        <v>297.10254556493248</v>
      </c>
      <c r="BH32" s="59">
        <f t="shared" ref="BH32" ca="1" si="477">ABS(H32-BG32)/H32</f>
        <v>1.2229113897828702E-2</v>
      </c>
      <c r="BI32" t="str">
        <f t="shared" ca="1" si="65"/>
        <v>Repetir</v>
      </c>
    </row>
    <row r="33" spans="4:61" x14ac:dyDescent="0.25">
      <c r="F33" s="26">
        <f t="shared" ca="1" si="67"/>
        <v>1712.2969604045038</v>
      </c>
      <c r="G33">
        <f ca="1">G32</f>
        <v>280.78082857587009</v>
      </c>
      <c r="H33">
        <f ca="1">BG32</f>
        <v>297.10254556493248</v>
      </c>
      <c r="I33" s="59">
        <f t="shared" ca="1" si="351"/>
        <v>288.94168707040126</v>
      </c>
      <c r="J33">
        <f>J32</f>
        <v>85</v>
      </c>
      <c r="K33">
        <f>K32</f>
        <v>87.5</v>
      </c>
      <c r="L33" s="59">
        <f t="shared" si="395"/>
        <v>86.25</v>
      </c>
      <c r="M33">
        <f ca="1">EX1</f>
        <v>39.358354619579693</v>
      </c>
      <c r="N33">
        <f ca="1">EX2</f>
        <v>0.70675687945101751</v>
      </c>
      <c r="O33" s="59">
        <f t="shared" ref="O33" ca="1" si="478">(ABS(($B$16*$B$8)-(M33*N33)))/($B$16-M33)</f>
        <v>0.69899208641594235</v>
      </c>
      <c r="P33" s="59">
        <f t="shared" ref="P33" ca="1" si="479">677+(15*O33)-(37.5*O33^2)</f>
        <v>669.16275866353487</v>
      </c>
      <c r="Q33" s="59">
        <f t="shared" ref="Q33" ca="1" si="480">168+(325*O33)-(12.5*O33^2)</f>
        <v>389.06505387427984</v>
      </c>
      <c r="R33" s="59">
        <f t="shared" ref="R33" ca="1" si="481">I33/P33</f>
        <v>0.43179582744186379</v>
      </c>
      <c r="S33" s="59">
        <f t="shared" ref="S33" ca="1" si="482">(L33+460)/Q33</f>
        <v>1.4040068481105783</v>
      </c>
      <c r="T33" s="59">
        <f t="shared" ref="T33" ca="1" si="483">1-((3.25*R33)/(10^(0.9813*S33)))+((0.274*R33^2)/(10^(0.8157*S33)))</f>
        <v>0.94485203711021448</v>
      </c>
      <c r="U33" s="59">
        <f t="shared" ref="U33" ca="1" si="484">(T33*(L33+460)/I33)*($B$17/(520))</f>
        <v>5.0496239918856448E-2</v>
      </c>
      <c r="V33" s="59">
        <f t="shared" ref="V33" ca="1" si="485">(O33*$B$18)/U33</f>
        <v>1.0575638005521297</v>
      </c>
      <c r="W33" s="59">
        <f t="shared" ref="W33" ca="1" si="486">3.5+(986/(L33+460))+(0.2896*O33)</f>
        <v>5.5074624331688486</v>
      </c>
      <c r="X33" s="59">
        <f t="shared" ref="X33" ca="1" si="487">2.4-(0.2*W33)</f>
        <v>1.29850751336623</v>
      </c>
      <c r="Y33" s="59">
        <f t="shared" ref="Y33" ca="1" si="488">((9.4+(0.5792*O33))*(L33+460)^1.5)/((209+(550.24*O33)+(L33+460)))</f>
        <v>109.81852165809175</v>
      </c>
      <c r="Z33" s="60">
        <f t="shared" ref="Z33" ca="1" si="489">Y33*((10^(-4))*EXP(W33*(O33/62.928)^X33))</f>
        <v>1.115859114308468E-2</v>
      </c>
      <c r="AA33" s="59">
        <f t="shared" ref="AA33" si="490">0.9759+0.00012*(BT32*((BT33/$B$19)^0.5)+(1.25*L33))^1.2</f>
        <v>1.0088901420958314</v>
      </c>
      <c r="AB33" s="59">
        <v>24</v>
      </c>
      <c r="AC33" s="61">
        <f t="shared" ref="AC33:AC38" ca="1" si="491">(($B$19*$B$22)+(N33*$B$18*M33))/AA33</f>
        <v>58.75239997376125</v>
      </c>
      <c r="AD33" s="59">
        <f t="shared" si="27"/>
        <v>0.16498815587413193</v>
      </c>
      <c r="AE33" s="59">
        <f t="shared" ref="AE33:AE38" si="492">$B$21*AA33*(5.615/1)*(1/86400)</f>
        <v>0.32783091133495912</v>
      </c>
      <c r="AF33" s="59">
        <f t="shared" ref="AF33:AF38" ca="1" si="493">$B$21*($B$16-M33)*U33*(1/86400)</f>
        <v>0.77103680486775084</v>
      </c>
      <c r="AG33" s="59">
        <f t="shared" ref="AG33:AG38" si="494">AE33/AD33</f>
        <v>1.9869966398379442</v>
      </c>
      <c r="AH33" s="59">
        <f t="shared" ref="AH33:AH38" ca="1" si="495">AF33/AD33</f>
        <v>4.6732857930478859</v>
      </c>
      <c r="AI33" s="59">
        <f t="shared" ref="AI33:AI38" ca="1" si="496">AG33+AH33</f>
        <v>6.6602824328858299</v>
      </c>
      <c r="AJ33" s="59">
        <f t="shared" ref="AJ33:AJ38" ca="1" si="497">AE33/(AE33+AF33)</f>
        <v>0.29833519221751675</v>
      </c>
      <c r="AK33" s="59"/>
      <c r="AL33" s="59">
        <f t="shared" ref="AL33:AL38" ca="1" si="498">1.071-((0.2218*((AG33+AH33)^2))/($B$5*0.0833333))</f>
        <v>-20.39571370079193</v>
      </c>
      <c r="AM33" s="59">
        <f t="shared" ref="AM33:AM38" ca="1" si="499">AH33/(AG33+AH33)</f>
        <v>0.7016648077824833</v>
      </c>
      <c r="AN33" s="59">
        <f t="shared" ref="AN33:AN38" ca="1" si="500">AM33-AL33</f>
        <v>21.097378508574412</v>
      </c>
      <c r="AO33" s="59">
        <f t="shared" ref="AO33:AO38" ca="1" si="501">(42.4-(0.047*J33)-(0.267*$B$2))*EXP(-0.0007*I33)</f>
        <v>26.355918917741249</v>
      </c>
      <c r="AP33" s="59">
        <f t="shared" ref="AP33:AP38" ca="1" si="502">1.938*AG33*(AC33/AO33)^0.25</f>
        <v>4.7053048678713489</v>
      </c>
      <c r="AQ33" s="59">
        <f t="shared" ref="AQ33:AQ38" ca="1" si="503">1.938*AH33*(AC33/AO33)^0.25</f>
        <v>11.066568483364742</v>
      </c>
      <c r="AR33" s="59">
        <f t="shared" ref="AR33:AR38" ca="1" si="504">((120.872*$B$5)/12)*((AC33/AO33)^0.25)</f>
        <v>67.693039343396478</v>
      </c>
      <c r="AS33" s="59">
        <f t="shared" ref="AS33:AS38" ca="1" si="505">0.15726*AB33*(1/(AC33*AO33^3)^0.25)</f>
        <v>0.11719645845706346</v>
      </c>
      <c r="AT33" s="59">
        <f t="shared" ref="AT33:AT38" ca="1" si="506">0.0104*(1.163-EXP(-6.407*AS33))</f>
        <v>7.1868978053124671E-3</v>
      </c>
      <c r="AU33" s="59">
        <f t="shared" ref="AU33:AU38" ca="1" si="507">(AP33*AT33*I33^0.1)/((AQ33^0.575)*AR33*$B$17^0.1)</f>
        <v>1.6889898861367287E-4</v>
      </c>
      <c r="AV33" s="59">
        <f t="shared" ref="AV33:AV38" ca="1" si="508">(0.0745*0.000841+1.0728*(AU33^0.884))/(0.000841+AU33^0.884)</f>
        <v>0.42876896652812796</v>
      </c>
      <c r="AW33" s="59">
        <f t="shared" ref="AW33:AW38" ca="1" si="509">(AQ33*AS33^0.1)/(AR33^2.14)</f>
        <v>1.0802896991702897E-3</v>
      </c>
      <c r="AX33" s="59">
        <f t="shared" ref="AX33:AX38" ca="1" si="510">(0.97471888*0.0102865321+1.7467011*(AW33^3.8462632))/(0.0102865321+AW33^3.8462632)</f>
        <v>0.97471888029211451</v>
      </c>
      <c r="AY33" s="59">
        <f t="shared" ref="AY33:AY38" ca="1" si="511">AV33*AX33</f>
        <v>0.41792920695830399</v>
      </c>
      <c r="AZ33" s="59">
        <f t="shared" ref="AZ33:AZ38" ca="1" si="512">(V33*(1-AY33))+(AC33*AY33)</f>
        <v>25.169920928010686</v>
      </c>
      <c r="BA33" s="59">
        <f t="shared" ref="BA33:BA38" ca="1" si="513">(Z33*(1-AJ33))+(AB33*AJ33)</f>
        <v>7.1678742039299372</v>
      </c>
      <c r="BB33" s="59">
        <f t="shared" ref="BB33:BB38" ca="1" si="514">(1488*AZ33*AI33*($B$5/12))/BA33</f>
        <v>15950.286821941385</v>
      </c>
      <c r="BC33" s="59">
        <f t="shared" ca="1" si="390"/>
        <v>2.7600716681160632E-2</v>
      </c>
      <c r="BD33" s="59">
        <f t="shared" ca="1" si="52"/>
        <v>2.7600716681160632E-2</v>
      </c>
      <c r="BE33" s="59">
        <f t="shared" ref="BE33:BE38" ca="1" si="515">((BD33*AZ33*(AI33^2))/(144*2*32.2*($B$5/12)))+((AZ33*SIN(90))/144)</f>
        <v>0.16351300467829705</v>
      </c>
      <c r="BF33" s="59">
        <f t="shared" ref="BF33:BF38" ca="1" si="516">BE33*100</f>
        <v>16.351300467829706</v>
      </c>
      <c r="BG33" s="59">
        <f t="shared" ref="BG33:BG38" ca="1" si="517">G33+BF33</f>
        <v>297.13212904369982</v>
      </c>
      <c r="BH33" s="59">
        <f t="shared" ref="BH33:BH38" ca="1" si="518">ABS(H33-BG33)/H33</f>
        <v>9.9573292820778438E-5</v>
      </c>
      <c r="BI33" t="str">
        <f t="shared" ca="1" si="65"/>
        <v>Listo</v>
      </c>
    </row>
    <row r="34" spans="4:61" x14ac:dyDescent="0.25">
      <c r="D34" s="25" t="s">
        <v>102</v>
      </c>
      <c r="F34" s="26">
        <f t="shared" ca="1" si="67"/>
        <v>1721.4141922381123</v>
      </c>
      <c r="G34">
        <f ca="1">BG33</f>
        <v>297.13212904369982</v>
      </c>
      <c r="H34">
        <f ca="1">G34+20</f>
        <v>317.13212904369982</v>
      </c>
      <c r="I34" s="59">
        <f t="shared" ca="1" si="351"/>
        <v>307.13212904369982</v>
      </c>
      <c r="J34">
        <f>K33</f>
        <v>87.5</v>
      </c>
      <c r="K34">
        <f>(1200+2400)/40</f>
        <v>90</v>
      </c>
      <c r="L34" s="59">
        <f t="shared" si="395"/>
        <v>88.75</v>
      </c>
      <c r="M34">
        <f ca="1">EZ1</f>
        <v>39.084016342366688</v>
      </c>
      <c r="N34">
        <f ca="1">EZ2</f>
        <v>0.70677948487019226</v>
      </c>
      <c r="O34" s="59">
        <f t="shared" ref="O34:O38" ca="1" si="519">(ABS(($B$16*$B$8)-(M34*N34)))/($B$16-M34)</f>
        <v>0.69899680639598527</v>
      </c>
      <c r="P34" s="59">
        <f t="shared" ref="P34:P38" ca="1" si="520">677+(15*O34)-(37.5*O34^2)</f>
        <v>669.16258202024778</v>
      </c>
      <c r="Q34" s="59">
        <f t="shared" ref="Q34:Q38" ca="1" si="521">168+(325*O34)-(12.5*O34^2)</f>
        <v>389.06650538679793</v>
      </c>
      <c r="R34" s="59">
        <f t="shared" ref="R34:R38" ca="1" si="522">I34/P34</f>
        <v>0.45897983135346099</v>
      </c>
      <c r="S34" s="59">
        <f t="shared" ref="S34:S38" ca="1" si="523">(L34+460)/Q34</f>
        <v>1.4104272467619634</v>
      </c>
      <c r="T34" s="59">
        <f t="shared" ref="T34:T38" ca="1" si="524">1-((3.25*R34)/(10^(0.9813*S34)))+((0.274*R34^2)/(10^(0.8157*S34)))</f>
        <v>0.94247556474264349</v>
      </c>
      <c r="U34" s="59">
        <f t="shared" ref="U34:U38" ca="1" si="525">(T34*(L34+460)/I34)*($B$17/(520))</f>
        <v>4.7602895861852866E-2</v>
      </c>
      <c r="V34" s="59">
        <f t="shared" ref="V34:V38" ca="1" si="526">(O34*$B$18)/U34</f>
        <v>1.1218509933436354</v>
      </c>
      <c r="W34" s="59">
        <f t="shared" ref="W34:W38" ca="1" si="527">3.5+(986/(L34+460))+(0.2896*O34)</f>
        <v>5.4992404090730513</v>
      </c>
      <c r="X34" s="59">
        <f t="shared" ref="X34:X38" ca="1" si="528">2.4-(0.2*W34)</f>
        <v>1.3001519181853896</v>
      </c>
      <c r="Y34" s="59">
        <f t="shared" ref="Y34:Y38" ca="1" si="529">((9.4+(0.5792*O34))*(L34+460)^1.5)/((209+(550.24*O34)+(L34+460)))</f>
        <v>110.33108280820315</v>
      </c>
      <c r="Z34" s="60">
        <f t="shared" ref="Z34:Z38" ca="1" si="530">Y34*((10^(-4))*EXP(W34*(O34/62.928)^X34))</f>
        <v>1.1209088993948544E-2</v>
      </c>
      <c r="AA34" s="59">
        <f t="shared" ref="AA34:AA38" si="531">0.9759+0.00012*(BT33*((BT34/$B$19)^0.5)+(1.25*L34))^1.2</f>
        <v>1.0100409259589103</v>
      </c>
      <c r="AB34" s="42">
        <v>24</v>
      </c>
      <c r="AC34" s="61">
        <f t="shared" ca="1" si="491"/>
        <v>58.67086164893999</v>
      </c>
      <c r="AD34" s="59">
        <f t="shared" si="27"/>
        <v>0.16498815587413193</v>
      </c>
      <c r="AE34" s="59">
        <f t="shared" si="492"/>
        <v>0.32820484949417139</v>
      </c>
      <c r="AF34" s="59">
        <f t="shared" ca="1" si="493"/>
        <v>0.72761352398517198</v>
      </c>
      <c r="AG34" s="59">
        <f t="shared" si="494"/>
        <v>1.9892630944039165</v>
      </c>
      <c r="AH34" s="59">
        <f t="shared" ca="1" si="495"/>
        <v>4.410095501281087</v>
      </c>
      <c r="AI34" s="59">
        <f t="shared" ca="1" si="496"/>
        <v>6.399358595685003</v>
      </c>
      <c r="AJ34" s="59">
        <f t="shared" ca="1" si="497"/>
        <v>0.31085351206060685</v>
      </c>
      <c r="AK34" s="59"/>
      <c r="AL34" s="59">
        <f t="shared" ca="1" si="498"/>
        <v>-18.746696186151837</v>
      </c>
      <c r="AM34" s="59">
        <f t="shared" ca="1" si="499"/>
        <v>0.68914648793939315</v>
      </c>
      <c r="AN34" s="59">
        <f t="shared" ca="1" si="500"/>
        <v>19.43584267409123</v>
      </c>
      <c r="AO34" s="59">
        <f t="shared" ca="1" si="501"/>
        <v>25.927679114228066</v>
      </c>
      <c r="AP34" s="59">
        <f t="shared" ca="1" si="502"/>
        <v>4.7283618432779715</v>
      </c>
      <c r="AQ34" s="59">
        <f t="shared" ca="1" si="503"/>
        <v>10.482538660738488</v>
      </c>
      <c r="AR34" s="59">
        <f t="shared" ca="1" si="504"/>
        <v>67.947245781161698</v>
      </c>
      <c r="AS34" s="59">
        <f t="shared" ca="1" si="505"/>
        <v>0.11868645659225907</v>
      </c>
      <c r="AT34" s="59">
        <f t="shared" ca="1" si="506"/>
        <v>7.233531563155704E-3</v>
      </c>
      <c r="AU34" s="59">
        <f t="shared" ca="1" si="507"/>
        <v>1.7665331722446464E-4</v>
      </c>
      <c r="AV34" s="59">
        <f t="shared" ca="1" si="508"/>
        <v>0.43788939774614938</v>
      </c>
      <c r="AW34" s="59">
        <f t="shared" ca="1" si="509"/>
        <v>1.0163863275568935E-3</v>
      </c>
      <c r="AX34" s="59">
        <f t="shared" ca="1" si="510"/>
        <v>0.97471888023104614</v>
      </c>
      <c r="AY34" s="59">
        <f t="shared" ca="1" si="511"/>
        <v>0.42681906343617387</v>
      </c>
      <c r="AZ34" s="59">
        <f t="shared" ca="1" si="512"/>
        <v>25.684865823043662</v>
      </c>
      <c r="BA34" s="59">
        <f t="shared" ca="1" si="513"/>
        <v>7.4682089937677443</v>
      </c>
      <c r="BB34" s="59">
        <f t="shared" ca="1" si="514"/>
        <v>15010.033450889881</v>
      </c>
      <c r="BC34">
        <f t="shared" ca="1" si="390"/>
        <v>2.8017261971033977E-2</v>
      </c>
      <c r="BD34" s="59">
        <f t="shared" ca="1" si="52"/>
        <v>2.8017261971033977E-2</v>
      </c>
      <c r="BE34" s="59">
        <f t="shared" ca="1" si="515"/>
        <v>0.16639301079119379</v>
      </c>
      <c r="BF34" s="59">
        <f t="shared" ca="1" si="516"/>
        <v>16.639301079119377</v>
      </c>
      <c r="BG34" s="59">
        <f t="shared" ca="1" si="517"/>
        <v>313.7714301228192</v>
      </c>
      <c r="BH34" s="59">
        <f t="shared" ca="1" si="518"/>
        <v>1.0597156872798368E-2</v>
      </c>
      <c r="BI34" t="str">
        <f t="shared" ca="1" si="65"/>
        <v>Repetir</v>
      </c>
    </row>
    <row r="35" spans="4:61" x14ac:dyDescent="0.25">
      <c r="F35" s="26">
        <f t="shared" ca="1" si="67"/>
        <v>1721.4993783637947</v>
      </c>
      <c r="G35">
        <f ca="1">G34</f>
        <v>297.13212904369982</v>
      </c>
      <c r="H35">
        <f ca="1">BG34</f>
        <v>313.7714301228192</v>
      </c>
      <c r="I35" s="59">
        <f t="shared" ca="1" si="351"/>
        <v>305.45177958325951</v>
      </c>
      <c r="J35">
        <f t="shared" ref="J35:K36" si="532">J34</f>
        <v>87.5</v>
      </c>
      <c r="K35">
        <f t="shared" si="532"/>
        <v>90</v>
      </c>
      <c r="L35" s="59">
        <f t="shared" si="395"/>
        <v>88.75</v>
      </c>
      <c r="M35">
        <f ca="1">FB1</f>
        <v>41.549054245003383</v>
      </c>
      <c r="N35">
        <f ca="1">FB2</f>
        <v>0.70657636624002251</v>
      </c>
      <c r="O35" s="59">
        <f t="shared" ca="1" si="519"/>
        <v>0.69895574099966162</v>
      </c>
      <c r="P35" s="59">
        <f t="shared" ca="1" si="520"/>
        <v>669.1641188196304</v>
      </c>
      <c r="Q35" s="59">
        <f t="shared" ca="1" si="521"/>
        <v>389.05387672643513</v>
      </c>
      <c r="R35" s="59">
        <f t="shared" ca="1" si="522"/>
        <v>0.45646766016393714</v>
      </c>
      <c r="S35" s="59">
        <f t="shared" ca="1" si="523"/>
        <v>1.4104730291271608</v>
      </c>
      <c r="T35" s="59">
        <f t="shared" ca="1" si="524"/>
        <v>0.94277418946109581</v>
      </c>
      <c r="U35" s="59">
        <f t="shared" ca="1" si="525"/>
        <v>4.7879934641008426E-2</v>
      </c>
      <c r="V35" s="59">
        <f t="shared" ca="1" si="526"/>
        <v>1.1152943088321945</v>
      </c>
      <c r="W35" s="59">
        <f t="shared" ca="1" si="527"/>
        <v>5.4992285165342762</v>
      </c>
      <c r="X35" s="59">
        <f t="shared" ca="1" si="528"/>
        <v>1.3001542966931445</v>
      </c>
      <c r="Y35" s="59">
        <f t="shared" ca="1" si="529"/>
        <v>110.33299753169676</v>
      </c>
      <c r="Z35" s="60">
        <f t="shared" ca="1" si="530"/>
        <v>1.1209267689684877E-2</v>
      </c>
      <c r="AA35" s="59">
        <f t="shared" si="531"/>
        <v>1.0100409259589103</v>
      </c>
      <c r="AB35" s="59">
        <v>24</v>
      </c>
      <c r="AC35" s="61">
        <f t="shared" ca="1" si="491"/>
        <v>58.802007058361077</v>
      </c>
      <c r="AD35" s="59">
        <f t="shared" si="27"/>
        <v>0.16498815587413193</v>
      </c>
      <c r="AE35" s="59">
        <f t="shared" si="492"/>
        <v>0.32820484949417139</v>
      </c>
      <c r="AF35" s="59">
        <f t="shared" ca="1" si="493"/>
        <v>0.72501788083644036</v>
      </c>
      <c r="AG35" s="59">
        <f t="shared" si="494"/>
        <v>1.9892630944039165</v>
      </c>
      <c r="AH35" s="59">
        <f t="shared" ca="1" si="495"/>
        <v>4.3943632013776215</v>
      </c>
      <c r="AI35" s="59">
        <f t="shared" ca="1" si="496"/>
        <v>6.3836262957815375</v>
      </c>
      <c r="AJ35" s="59">
        <f t="shared" ca="1" si="497"/>
        <v>0.31161960337785938</v>
      </c>
      <c r="AK35" s="59"/>
      <c r="AL35" s="59">
        <f t="shared" ca="1" si="498"/>
        <v>-18.649375589141048</v>
      </c>
      <c r="AM35" s="59">
        <f t="shared" ca="1" si="499"/>
        <v>0.68838039662214068</v>
      </c>
      <c r="AN35" s="59">
        <f t="shared" ca="1" si="500"/>
        <v>19.337755985763188</v>
      </c>
      <c r="AO35" s="59">
        <f t="shared" ca="1" si="501"/>
        <v>25.958194350528125</v>
      </c>
      <c r="AP35" s="59">
        <f t="shared" ca="1" si="502"/>
        <v>4.7296109271758136</v>
      </c>
      <c r="AQ35" s="59">
        <f t="shared" ca="1" si="503"/>
        <v>10.447903182682184</v>
      </c>
      <c r="AR35" s="59">
        <f t="shared" ca="1" si="504"/>
        <v>67.965195298017861</v>
      </c>
      <c r="AS35" s="59">
        <f t="shared" ca="1" si="505"/>
        <v>0.11851562627192501</v>
      </c>
      <c r="AT35" s="59">
        <f t="shared" ca="1" si="506"/>
        <v>7.2282075060189294E-3</v>
      </c>
      <c r="AU35" s="59">
        <f t="shared" ca="1" si="507"/>
        <v>1.7676254082603276E-4</v>
      </c>
      <c r="AV35" s="59">
        <f t="shared" ca="1" si="508"/>
        <v>0.43801568768597787</v>
      </c>
      <c r="AW35" s="59">
        <f t="shared" ca="1" si="509"/>
        <v>1.0123098042286601E-3</v>
      </c>
      <c r="AX35" s="59">
        <f t="shared" ca="1" si="510"/>
        <v>0.97471888022750219</v>
      </c>
      <c r="AY35" s="59">
        <f t="shared" ca="1" si="511"/>
        <v>0.42694216062335566</v>
      </c>
      <c r="AZ35" s="59">
        <f t="shared" ca="1" si="512"/>
        <v>25.744184089374933</v>
      </c>
      <c r="BA35" s="59">
        <f t="shared" ca="1" si="513"/>
        <v>7.4865867212066943</v>
      </c>
      <c r="BB35" s="59">
        <f t="shared" ca="1" si="514"/>
        <v>14970.87217792919</v>
      </c>
      <c r="BC35" s="59">
        <f t="shared" ca="1" si="390"/>
        <v>2.8035387274598665E-2</v>
      </c>
      <c r="BD35" s="59">
        <f t="shared" ca="1" si="52"/>
        <v>2.8035387274598665E-2</v>
      </c>
      <c r="BE35" s="59">
        <f t="shared" ca="1" si="515"/>
        <v>0.16674763603398718</v>
      </c>
      <c r="BF35" s="59">
        <f t="shared" ca="1" si="516"/>
        <v>16.674763603398716</v>
      </c>
      <c r="BG35" s="59">
        <f t="shared" ca="1" si="517"/>
        <v>313.80689264709855</v>
      </c>
      <c r="BH35" s="59">
        <f t="shared" ca="1" si="518"/>
        <v>1.1302024618835465E-4</v>
      </c>
      <c r="BI35" t="str">
        <f t="shared" ca="1" si="65"/>
        <v>Listo</v>
      </c>
    </row>
    <row r="36" spans="4:61" x14ac:dyDescent="0.25">
      <c r="F36" s="26">
        <f t="shared" ca="1" si="67"/>
        <v>1721.4910656124725</v>
      </c>
      <c r="G36">
        <f ca="1">G35</f>
        <v>297.13212904369982</v>
      </c>
      <c r="H36">
        <f ca="1">BG35</f>
        <v>313.80689264709855</v>
      </c>
      <c r="I36" s="59">
        <f t="shared" ca="1" si="351"/>
        <v>305.46951084539921</v>
      </c>
      <c r="J36">
        <f t="shared" si="532"/>
        <v>87.5</v>
      </c>
      <c r="K36">
        <f t="shared" si="532"/>
        <v>90</v>
      </c>
      <c r="L36" s="59">
        <f t="shared" si="395"/>
        <v>88.75</v>
      </c>
      <c r="M36">
        <f ca="1">FF1</f>
        <v>41.300209826596806</v>
      </c>
      <c r="N36">
        <f ca="1">FF2</f>
        <v>0.7065968709703303</v>
      </c>
      <c r="O36" s="59">
        <f t="shared" ca="1" si="519"/>
        <v>0.69895974810604344</v>
      </c>
      <c r="P36" s="59">
        <f t="shared" ca="1" si="520"/>
        <v>669.16396886637324</v>
      </c>
      <c r="Q36" s="59">
        <f t="shared" ca="1" si="521"/>
        <v>389.05510901605834</v>
      </c>
      <c r="R36" s="59">
        <f t="shared" ca="1" si="522"/>
        <v>0.45649426008829097</v>
      </c>
      <c r="S36" s="59">
        <f t="shared" ca="1" si="523"/>
        <v>1.4104685616076826</v>
      </c>
      <c r="T36" s="59">
        <f t="shared" ca="1" si="524"/>
        <v>0.94277050539908258</v>
      </c>
      <c r="U36" s="59">
        <f t="shared" ca="1" si="525"/>
        <v>4.7876968316914674E-2</v>
      </c>
      <c r="V36" s="59">
        <f t="shared" ca="1" si="526"/>
        <v>1.1153698037399664</v>
      </c>
      <c r="W36" s="59">
        <f t="shared" ca="1" si="527"/>
        <v>5.4992296769922842</v>
      </c>
      <c r="X36" s="59">
        <f t="shared" ca="1" si="528"/>
        <v>1.300154064601543</v>
      </c>
      <c r="Y36" s="59">
        <f t="shared" ca="1" si="529"/>
        <v>110.33281069220725</v>
      </c>
      <c r="Z36" s="60">
        <f t="shared" ca="1" si="530"/>
        <v>1.1209250252453661E-2</v>
      </c>
      <c r="AA36" s="59">
        <f t="shared" si="531"/>
        <v>1.0100409259589103</v>
      </c>
      <c r="AB36" s="42">
        <v>24</v>
      </c>
      <c r="AC36" s="61">
        <f t="shared" ca="1" si="491"/>
        <v>58.788771428170534</v>
      </c>
      <c r="AD36" s="59">
        <f t="shared" si="27"/>
        <v>0.16498815587413193</v>
      </c>
      <c r="AE36" s="59">
        <f t="shared" si="492"/>
        <v>0.32820484949417139</v>
      </c>
      <c r="AF36" s="59">
        <f t="shared" ca="1" si="493"/>
        <v>0.72566242627440947</v>
      </c>
      <c r="AG36" s="59">
        <f t="shared" si="494"/>
        <v>1.9892630944039165</v>
      </c>
      <c r="AH36" s="59">
        <f t="shared" ca="1" si="495"/>
        <v>4.3982698177923218</v>
      </c>
      <c r="AI36" s="59">
        <f t="shared" ca="1" si="496"/>
        <v>6.3875329121962388</v>
      </c>
      <c r="AJ36" s="59">
        <f t="shared" ca="1" si="497"/>
        <v>0.31142901676571466</v>
      </c>
      <c r="AK36" s="59"/>
      <c r="AL36" s="59">
        <f t="shared" ca="1" si="498"/>
        <v>-18.67351970806331</v>
      </c>
      <c r="AM36" s="59">
        <f t="shared" ca="1" si="499"/>
        <v>0.68857098323428534</v>
      </c>
      <c r="AN36" s="59">
        <f t="shared" ca="1" si="500"/>
        <v>19.362090691297595</v>
      </c>
      <c r="AO36" s="59">
        <f t="shared" ca="1" si="501"/>
        <v>25.957872162443518</v>
      </c>
      <c r="AP36" s="59">
        <f t="shared" ca="1" si="502"/>
        <v>4.7293594350028787</v>
      </c>
      <c r="AQ36" s="59">
        <f t="shared" ca="1" si="503"/>
        <v>10.456635383716069</v>
      </c>
      <c r="AR36" s="59">
        <f t="shared" ca="1" si="504"/>
        <v>67.961581319000857</v>
      </c>
      <c r="AS36" s="59">
        <f t="shared" ca="1" si="505"/>
        <v>0.11852339964248036</v>
      </c>
      <c r="AT36" s="59">
        <f t="shared" ca="1" si="506"/>
        <v>7.2284498956047809E-3</v>
      </c>
      <c r="AU36" s="59">
        <f t="shared" ca="1" si="507"/>
        <v>1.7668459908304809E-4</v>
      </c>
      <c r="AV36" s="59">
        <f t="shared" ca="1" si="508"/>
        <v>0.43792557349839145</v>
      </c>
      <c r="AW36" s="59">
        <f t="shared" ca="1" si="509"/>
        <v>1.0132778223460781E-3</v>
      </c>
      <c r="AX36" s="59">
        <f t="shared" ca="1" si="510"/>
        <v>0.97471888022834008</v>
      </c>
      <c r="AY36" s="59">
        <f t="shared" ca="1" si="511"/>
        <v>0.42685432462370576</v>
      </c>
      <c r="AZ36" s="59">
        <f t="shared" ca="1" si="512"/>
        <v>25.733510702888012</v>
      </c>
      <c r="BA36" s="59">
        <f t="shared" ca="1" si="513"/>
        <v>7.4820147668448032</v>
      </c>
      <c r="BB36" s="59">
        <f t="shared" ca="1" si="514"/>
        <v>14982.973229537109</v>
      </c>
      <c r="BC36">
        <f t="shared" ca="1" si="390"/>
        <v>2.8029779486395564E-2</v>
      </c>
      <c r="BD36" s="59">
        <f t="shared" ca="1" si="52"/>
        <v>2.8029779486395557E-2</v>
      </c>
      <c r="BE36" s="59">
        <f t="shared" ca="1" si="515"/>
        <v>0.16668558671105874</v>
      </c>
      <c r="BF36" s="59">
        <f t="shared" ca="1" si="516"/>
        <v>16.668558671105874</v>
      </c>
      <c r="BG36" s="59">
        <f t="shared" ca="1" si="517"/>
        <v>313.80068771480569</v>
      </c>
      <c r="BH36" s="59">
        <f t="shared" ca="1" si="518"/>
        <v>1.9773091153348482E-5</v>
      </c>
      <c r="BI36" t="str">
        <f t="shared" ca="1" si="65"/>
        <v>Listo</v>
      </c>
    </row>
    <row r="37" spans="4:61" x14ac:dyDescent="0.25">
      <c r="D37" s="25" t="s">
        <v>103</v>
      </c>
      <c r="F37" s="26">
        <f t="shared" ca="1" si="67"/>
        <v>1730.7467601348376</v>
      </c>
      <c r="G37">
        <f ca="1">BG36</f>
        <v>313.80068771480569</v>
      </c>
      <c r="H37">
        <f ca="1">G37+20</f>
        <v>333.80068771480569</v>
      </c>
      <c r="I37" s="59">
        <f t="shared" ca="1" si="351"/>
        <v>323.80068771480569</v>
      </c>
      <c r="J37">
        <f>K36</f>
        <v>90</v>
      </c>
      <c r="K37">
        <f>(1300+2400)/40</f>
        <v>92.5</v>
      </c>
      <c r="L37" s="59">
        <f t="shared" si="395"/>
        <v>91.25</v>
      </c>
      <c r="M37">
        <f ca="1">FH1</f>
        <v>43.781756542594145</v>
      </c>
      <c r="N37">
        <f ca="1">FH2</f>
        <v>0.70639239201724147</v>
      </c>
      <c r="O37" s="59">
        <f t="shared" ca="1" si="519"/>
        <v>0.69892120400117641</v>
      </c>
      <c r="P37" s="59">
        <f t="shared" ca="1" si="520"/>
        <v>669.16541120742556</v>
      </c>
      <c r="Q37" s="59">
        <f t="shared" ca="1" si="521"/>
        <v>389.04325568285162</v>
      </c>
      <c r="R37" s="59">
        <f t="shared" ca="1" si="522"/>
        <v>0.48388736520399001</v>
      </c>
      <c r="S37" s="59">
        <f t="shared" ca="1" si="523"/>
        <v>1.4169375562942015</v>
      </c>
      <c r="T37" s="59">
        <f t="shared" ca="1" si="524"/>
        <v>0.94048069514981669</v>
      </c>
      <c r="U37" s="59">
        <f t="shared" ca="1" si="525"/>
        <v>4.5262101289986131E-2</v>
      </c>
      <c r="V37" s="59">
        <f t="shared" ca="1" si="526"/>
        <v>1.1797415158342119</v>
      </c>
      <c r="W37" s="59">
        <f t="shared" ca="1" si="527"/>
        <v>5.4910697121980148</v>
      </c>
      <c r="X37" s="59">
        <f t="shared" ca="1" si="528"/>
        <v>1.301786057560397</v>
      </c>
      <c r="Y37" s="59">
        <f t="shared" ca="1" si="529"/>
        <v>110.84687046344331</v>
      </c>
      <c r="Z37" s="60">
        <f t="shared" ca="1" si="530"/>
        <v>1.1259897176797932E-2</v>
      </c>
      <c r="AA37" s="59">
        <f t="shared" si="531"/>
        <v>1.0111982121847416</v>
      </c>
      <c r="AB37" s="59">
        <v>24</v>
      </c>
      <c r="AC37" s="61">
        <f t="shared" ca="1" si="491"/>
        <v>58.853293316217098</v>
      </c>
      <c r="AD37" s="59">
        <f t="shared" si="27"/>
        <v>0.16498815587413193</v>
      </c>
      <c r="AE37" s="59">
        <f t="shared" si="492"/>
        <v>0.32858090054498401</v>
      </c>
      <c r="AF37" s="59">
        <f t="shared" ca="1" si="493"/>
        <v>0.67952936532709984</v>
      </c>
      <c r="AG37" s="59">
        <f t="shared" si="494"/>
        <v>1.9915423552927982</v>
      </c>
      <c r="AH37" s="59">
        <f t="shared" ca="1" si="495"/>
        <v>4.1186554375788464</v>
      </c>
      <c r="AI37" s="59">
        <f t="shared" ca="1" si="496"/>
        <v>6.1101977928716451</v>
      </c>
      <c r="AJ37" s="59">
        <f t="shared" ca="1" si="497"/>
        <v>0.32593746107796973</v>
      </c>
      <c r="AK37" s="59"/>
      <c r="AL37" s="59">
        <f t="shared" ca="1" si="498"/>
        <v>-16.996198250192901</v>
      </c>
      <c r="AM37" s="59">
        <f t="shared" ca="1" si="499"/>
        <v>0.67406253892203027</v>
      </c>
      <c r="AN37" s="59">
        <f t="shared" ca="1" si="500"/>
        <v>17.670260789114931</v>
      </c>
      <c r="AO37" s="59">
        <f t="shared" ca="1" si="501"/>
        <v>25.533243275493248</v>
      </c>
      <c r="AP37" s="59">
        <f t="shared" ca="1" si="502"/>
        <v>4.7556459725978959</v>
      </c>
      <c r="AQ37" s="59">
        <f t="shared" ca="1" si="503"/>
        <v>9.8350241420602824</v>
      </c>
      <c r="AR37" s="59">
        <f t="shared" ca="1" si="504"/>
        <v>68.261110359783672</v>
      </c>
      <c r="AS37" s="59">
        <f t="shared" ca="1" si="505"/>
        <v>0.11996576648923789</v>
      </c>
      <c r="AT37" s="59">
        <f t="shared" ca="1" si="506"/>
        <v>7.2732175496766013E-3</v>
      </c>
      <c r="AU37" s="59">
        <f t="shared" ca="1" si="507"/>
        <v>1.854440557978055E-4</v>
      </c>
      <c r="AV37" s="59">
        <f t="shared" ca="1" si="508"/>
        <v>0.44786794241324557</v>
      </c>
      <c r="AW37" s="59">
        <f t="shared" ca="1" si="509"/>
        <v>9.452576440663684E-4</v>
      </c>
      <c r="AX37" s="59">
        <f t="shared" ca="1" si="510"/>
        <v>0.97471888017478658</v>
      </c>
      <c r="AY37" s="59">
        <f t="shared" ca="1" si="511"/>
        <v>0.43654533929522454</v>
      </c>
      <c r="AZ37" s="59">
        <f t="shared" ca="1" si="512"/>
        <v>26.356861754893067</v>
      </c>
      <c r="BA37" s="59">
        <f t="shared" ca="1" si="513"/>
        <v>7.830088940750267</v>
      </c>
      <c r="BB37" s="59">
        <f t="shared" ca="1" si="514"/>
        <v>14027.059756657576</v>
      </c>
      <c r="BC37">
        <f t="shared" ref="BC37:BC47" ca="1" si="533">BD37</f>
        <v>2.8493025616656113E-2</v>
      </c>
      <c r="BD37" s="59">
        <f t="shared" ca="1" si="52"/>
        <v>2.8493025616656113E-2</v>
      </c>
      <c r="BE37" s="59">
        <f t="shared" ca="1" si="515"/>
        <v>0.17022806414702218</v>
      </c>
      <c r="BF37" s="59">
        <f t="shared" ca="1" si="516"/>
        <v>17.022806414702217</v>
      </c>
      <c r="BG37" s="59">
        <f t="shared" ca="1" si="517"/>
        <v>330.82349412950794</v>
      </c>
      <c r="BH37" s="59">
        <f t="shared" ca="1" si="518"/>
        <v>8.9190756486440328E-3</v>
      </c>
      <c r="BI37" t="str">
        <f t="shared" ca="1" si="65"/>
        <v>Repetir</v>
      </c>
    </row>
    <row r="38" spans="4:61" x14ac:dyDescent="0.25">
      <c r="F38" s="26">
        <f t="shared" ca="1" si="67"/>
        <v>1730.7397909343651</v>
      </c>
      <c r="G38">
        <f ca="1">G37</f>
        <v>313.80068771480569</v>
      </c>
      <c r="H38">
        <f ca="1">BG37</f>
        <v>330.82349412950794</v>
      </c>
      <c r="I38" s="59">
        <f t="shared" ca="1" si="351"/>
        <v>322.31209092215681</v>
      </c>
      <c r="J38">
        <f>J37</f>
        <v>90</v>
      </c>
      <c r="K38">
        <f>(1300+2400)/40</f>
        <v>92.5</v>
      </c>
      <c r="L38" s="59">
        <f t="shared" ref="L38:L39" si="534">(J38+K38)/2</f>
        <v>91.25</v>
      </c>
      <c r="M38">
        <f ca="1">FJ1</f>
        <v>43.558249888716212</v>
      </c>
      <c r="N38">
        <f ca="1">FJ2</f>
        <v>0.70641080892081975</v>
      </c>
      <c r="O38" s="59">
        <f t="shared" ca="1" si="519"/>
        <v>0.69892454560062778</v>
      </c>
      <c r="P38" s="59">
        <f t="shared" ca="1" si="520"/>
        <v>669.16528616739527</v>
      </c>
      <c r="Q38" s="59">
        <f t="shared" ca="1" si="521"/>
        <v>389.04428331466596</v>
      </c>
      <c r="R38" s="59">
        <f t="shared" ca="1" si="522"/>
        <v>0.48166289791895855</v>
      </c>
      <c r="S38" s="59">
        <f t="shared" ca="1" si="523"/>
        <v>1.4169338135580292</v>
      </c>
      <c r="T38" s="59">
        <f t="shared" ca="1" si="524"/>
        <v>0.94073329438701847</v>
      </c>
      <c r="U38" s="59">
        <f t="shared" ca="1" si="525"/>
        <v>4.5483356958546918E-2</v>
      </c>
      <c r="V38" s="59">
        <f t="shared" ca="1" si="526"/>
        <v>1.1740082275051558</v>
      </c>
      <c r="W38" s="59">
        <f t="shared" ca="1" si="527"/>
        <v>5.4910706799252162</v>
      </c>
      <c r="X38" s="59">
        <f t="shared" ca="1" si="528"/>
        <v>1.3017858640149567</v>
      </c>
      <c r="Y38" s="59">
        <f t="shared" ca="1" si="529"/>
        <v>110.84671431553872</v>
      </c>
      <c r="Z38" s="60">
        <f t="shared" ca="1" si="530"/>
        <v>1.1259882599192247E-2</v>
      </c>
      <c r="AA38" s="59">
        <f t="shared" si="531"/>
        <v>1.0111982121847416</v>
      </c>
      <c r="AB38" s="42">
        <v>24</v>
      </c>
      <c r="AC38" s="61">
        <f t="shared" ca="1" si="491"/>
        <v>58.841425214684577</v>
      </c>
      <c r="AD38" s="59">
        <f t="shared" si="27"/>
        <v>0.16498815587413193</v>
      </c>
      <c r="AE38" s="59">
        <f t="shared" si="492"/>
        <v>0.32858090054498401</v>
      </c>
      <c r="AF38" s="59">
        <f t="shared" ca="1" si="493"/>
        <v>0.68343942333466123</v>
      </c>
      <c r="AG38" s="59">
        <f t="shared" si="494"/>
        <v>1.9915423552927982</v>
      </c>
      <c r="AH38" s="59">
        <f t="shared" ca="1" si="495"/>
        <v>4.1423544600137925</v>
      </c>
      <c r="AI38" s="59">
        <f t="shared" ca="1" si="496"/>
        <v>6.1338968153065903</v>
      </c>
      <c r="AJ38" s="59">
        <f t="shared" ca="1" si="497"/>
        <v>0.32467816385875325</v>
      </c>
      <c r="AK38" s="59"/>
      <c r="AL38" s="59">
        <f t="shared" ca="1" si="498"/>
        <v>-17.136620970108147</v>
      </c>
      <c r="AM38" s="59">
        <f t="shared" ca="1" si="499"/>
        <v>0.67532183614124675</v>
      </c>
      <c r="AN38" s="59">
        <f t="shared" ca="1" si="500"/>
        <v>17.811942806249395</v>
      </c>
      <c r="AO38" s="59">
        <f t="shared" ca="1" si="501"/>
        <v>25.559863235151955</v>
      </c>
      <c r="AP38" s="59">
        <f t="shared" ca="1" si="502"/>
        <v>4.7541675606159508</v>
      </c>
      <c r="AQ38" s="59">
        <f t="shared" ca="1" si="503"/>
        <v>9.8885404802123986</v>
      </c>
      <c r="AR38" s="59">
        <f t="shared" ca="1" si="504"/>
        <v>68.239889679346518</v>
      </c>
      <c r="AS38" s="59">
        <f t="shared" ca="1" si="505"/>
        <v>0.11987809225298665</v>
      </c>
      <c r="AT38" s="59">
        <f t="shared" ca="1" si="506"/>
        <v>7.270508142203585E-3</v>
      </c>
      <c r="AU38" s="59">
        <f t="shared" ca="1" si="507"/>
        <v>1.8471231322901823E-4</v>
      </c>
      <c r="AV38" s="59">
        <f t="shared" ca="1" si="508"/>
        <v>0.44705141074817312</v>
      </c>
      <c r="AW38" s="59">
        <f t="shared" ca="1" si="509"/>
        <v>9.509642303721891E-4</v>
      </c>
      <c r="AX38" s="59">
        <f t="shared" ca="1" si="510"/>
        <v>0.97471888017888031</v>
      </c>
      <c r="AY38" s="59">
        <f t="shared" ca="1" si="511"/>
        <v>0.43574945046684793</v>
      </c>
      <c r="AZ38" s="59">
        <f t="shared" ca="1" si="512"/>
        <v>26.302553489511162</v>
      </c>
      <c r="BA38" s="59">
        <f t="shared" ca="1" si="513"/>
        <v>7.7998799772016998</v>
      </c>
      <c r="BB38" s="59">
        <f t="shared" ca="1" si="514"/>
        <v>14106.875489972412</v>
      </c>
      <c r="BC38">
        <f t="shared" ca="1" si="533"/>
        <v>2.845269909700426E-2</v>
      </c>
      <c r="BD38" s="59">
        <f t="shared" ca="1" si="52"/>
        <v>2.845269909700426E-2</v>
      </c>
      <c r="BE38" s="59">
        <f t="shared" ca="1" si="515"/>
        <v>0.16991908418065238</v>
      </c>
      <c r="BF38" s="59">
        <f t="shared" ca="1" si="516"/>
        <v>16.991908418065236</v>
      </c>
      <c r="BG38" s="59">
        <f t="shared" ca="1" si="517"/>
        <v>330.79259613287093</v>
      </c>
      <c r="BH38" s="59">
        <f t="shared" ca="1" si="518"/>
        <v>9.3397225968821888E-5</v>
      </c>
      <c r="BI38" t="str">
        <f t="shared" ca="1" si="65"/>
        <v>Listo</v>
      </c>
    </row>
    <row r="39" spans="4:61" x14ac:dyDescent="0.25">
      <c r="D39" s="25" t="s">
        <v>104</v>
      </c>
      <c r="F39" s="26">
        <f t="shared" ca="1" si="67"/>
        <v>1740.0388690050045</v>
      </c>
      <c r="G39">
        <f ca="1">BG38</f>
        <v>330.79259613287093</v>
      </c>
      <c r="H39">
        <f ca="1">G39+20</f>
        <v>350.79259613287093</v>
      </c>
      <c r="I39" s="59">
        <f t="shared" ca="1" si="351"/>
        <v>340.79259613287093</v>
      </c>
      <c r="J39">
        <f>K38</f>
        <v>92.5</v>
      </c>
      <c r="K39">
        <f>(1400+2400)/40</f>
        <v>95</v>
      </c>
      <c r="L39" s="59">
        <f t="shared" si="534"/>
        <v>93.75</v>
      </c>
      <c r="M39">
        <f ca="1">FM1</f>
        <v>46.056703247683743</v>
      </c>
      <c r="N39">
        <f ca="1">FM2</f>
        <v>0.70620493686373143</v>
      </c>
      <c r="O39" s="59">
        <f t="shared" ref="O39:O47" ca="1" si="535">(ABS(($B$16*$B$8)-(M39*N39)))/($B$16-M39)</f>
        <v>0.69888868258967429</v>
      </c>
      <c r="P39" s="59">
        <f t="shared" ref="P39:P47" ca="1" si="536">677+(15*O39)-(37.5*O39^2)</f>
        <v>669.16662808939782</v>
      </c>
      <c r="Q39" s="59">
        <f t="shared" ref="Q39:Q47" ca="1" si="537">168+(325*O39)-(12.5*O39^2)</f>
        <v>389.03325445849498</v>
      </c>
      <c r="R39" s="59">
        <f t="shared" ref="R39:R47" ca="1" si="538">I39/P39</f>
        <v>0.50927912694316624</v>
      </c>
      <c r="S39" s="59">
        <f t="shared" ref="S39:S47" ca="1" si="539">(L39+460)/Q39</f>
        <v>1.423400168632829</v>
      </c>
      <c r="T39" s="59">
        <f t="shared" ref="T39:T47" ca="1" si="540">1-((3.25*R39)/(10^(0.9813*S39)))+((0.274*R39^2)/(10^(0.8157*S39)))</f>
        <v>0.93852153476493039</v>
      </c>
      <c r="U39" s="59">
        <f t="shared" ref="U39:U47" ca="1" si="541">(T39*(L39+460)/I39)*($B$17/(520))</f>
        <v>4.3110377074306629E-2</v>
      </c>
      <c r="V39" s="59">
        <f t="shared" ref="V39:V47" ca="1" si="542">(O39*$B$18)/U39</f>
        <v>1.2385671147765041</v>
      </c>
      <c r="W39" s="59">
        <f t="shared" ref="W39:W47" ca="1" si="543">3.5+(986/(L39+460))+(0.2896*O39)</f>
        <v>5.4829850699271798</v>
      </c>
      <c r="X39" s="59">
        <f t="shared" ref="X39:X47" ca="1" si="544">2.4-(0.2*W39)</f>
        <v>1.3034029860145639</v>
      </c>
      <c r="Y39" s="59">
        <f t="shared" ref="Y39:Y47" ca="1" si="545">((9.4+(0.5792*O39))*(L39+460)^1.5)/((209+(550.24*O39)+(L39+460)))</f>
        <v>111.36012967449328</v>
      </c>
      <c r="Z39" s="60">
        <f t="shared" ref="Z39:Z47" ca="1" si="546">Y39*((10^(-4))*EXP(W39*(O39/62.928)^X39))</f>
        <v>1.1310478311055501E-2</v>
      </c>
      <c r="AA39" s="59">
        <f t="shared" ref="AA39:AA47" si="547">0.9759+0.00012*(BT38*((BT39/$B$19)^0.5)+(1.25*L39))^1.2</f>
        <v>1.0123618578282416</v>
      </c>
      <c r="AB39" s="59">
        <v>24</v>
      </c>
      <c r="AC39" s="61">
        <f t="shared" ref="AC39:AC47" ca="1" si="548">(($B$19*$B$22)+(N39*$B$18*M39))/AA39</f>
        <v>58.906269633091952</v>
      </c>
      <c r="AD39" s="59">
        <f t="shared" si="27"/>
        <v>0.16498815587413193</v>
      </c>
      <c r="AE39" s="59">
        <f t="shared" ref="AE39:AE47" si="549">$B$21*AA39*(5.615/1)*(1/86400)</f>
        <v>0.32895901803851718</v>
      </c>
      <c r="AF39" s="59">
        <f t="shared" ref="AF39:AF47" ca="1" si="550">$B$21*($B$16-M39)*U39*(1/86400)</f>
        <v>0.64154951324614728</v>
      </c>
      <c r="AG39" s="59">
        <f t="shared" ref="AG39:AG47" si="551">AE39/AD39</f>
        <v>1.9938341409760179</v>
      </c>
      <c r="AH39" s="59">
        <f t="shared" ref="AH39:AH47" ca="1" si="552">AF39/AD39</f>
        <v>3.8884579917092958</v>
      </c>
      <c r="AI39" s="59">
        <f t="shared" ref="AI39:AI47" ca="1" si="553">AG39+AH39</f>
        <v>5.8822921326853139</v>
      </c>
      <c r="AJ39" s="59">
        <f t="shared" ref="AJ39:AJ47" ca="1" si="554">AE39/(AE39+AF39)</f>
        <v>0.33895530789726636</v>
      </c>
      <c r="AK39" s="59"/>
      <c r="AL39" s="59">
        <f t="shared" ref="AL39:AL47" ca="1" si="555">1.071-((0.2218*((AG39+AH39)^2))/($B$5*0.0833333))</f>
        <v>-15.673548830598422</v>
      </c>
      <c r="AM39" s="59">
        <f t="shared" ref="AM39:AM47" ca="1" si="556">AH39/(AG39+AH39)</f>
        <v>0.66104469210273364</v>
      </c>
      <c r="AN39" s="59">
        <f t="shared" ref="AN39:AN47" ca="1" si="557">AM39-AL39</f>
        <v>16.334593522701155</v>
      </c>
      <c r="AO39" s="59">
        <f t="shared" ref="AO39:AO47" ca="1" si="558">(42.4-(0.047*J39)-(0.267*$B$2))*EXP(-0.0007*I39)</f>
        <v>25.138778877739213</v>
      </c>
      <c r="AP39" s="59">
        <f t="shared" ref="AP39:AP47" ca="1" si="559">1.938*AG39*(AC39/AO39)^0.25</f>
        <v>4.7807621424395892</v>
      </c>
      <c r="AQ39" s="59">
        <f t="shared" ref="AQ39:AQ47" ca="1" si="560">1.938*AH39*(AC39/AO39)^0.25</f>
        <v>9.3236405060906584</v>
      </c>
      <c r="AR39" s="59">
        <f t="shared" ref="AR39:AR47" ca="1" si="561">((120.872*$B$5)/12)*((AC39/AO39)^0.25)</f>
        <v>68.542744105957127</v>
      </c>
      <c r="AS39" s="59">
        <f t="shared" ref="AS39:AS47" ca="1" si="562">0.15726*AB39*(1/(AC39*AO39^3)^0.25)</f>
        <v>0.12134754636658616</v>
      </c>
      <c r="AT39" s="59">
        <f t="shared" ref="AT39:AT47" ca="1" si="563">0.0104*(1.163-EXP(-6.407*AS39))</f>
        <v>7.3157184581308238E-3</v>
      </c>
      <c r="AU39" s="59">
        <f t="shared" ref="AU39:AU47" ca="1" si="564">(AP39*AT39*I39^0.1)/((AQ39^0.575)*AR39*$B$17^0.1)</f>
        <v>1.9355225723917855E-4</v>
      </c>
      <c r="AV39" s="59">
        <f t="shared" ref="AV39:AV47" ca="1" si="565">(0.0745*0.000841+1.0728*(AU39^0.884))/(0.000841+AU39^0.884)</f>
        <v>0.45675114964332514</v>
      </c>
      <c r="AW39" s="59">
        <f t="shared" ref="AW39:AW47" ca="1" si="566">(AQ39*AS39^0.1)/(AR39^2.14)</f>
        <v>8.89264666906824E-4</v>
      </c>
      <c r="AX39" s="59">
        <f t="shared" ref="AX39:AX47" ca="1" si="567">(0.97471888*0.0102865321+1.7467011*(AW39^3.8462632))/(0.0102865321+AW39^3.8462632)</f>
        <v>0.97471888013820007</v>
      </c>
      <c r="AY39" s="59">
        <f t="shared" ref="AY39:AY47" ca="1" si="568">AV39*AX39</f>
        <v>0.4452039690821773</v>
      </c>
      <c r="AZ39" s="59">
        <f t="shared" ref="AZ39:AZ47" ca="1" si="569">(V39*(1-AY39))+(AC39*AY39)</f>
        <v>26.912457163780815</v>
      </c>
      <c r="BA39" s="59">
        <f t="shared" ref="BA39:BA47" ca="1" si="570">(Z39*(1-AJ39))+(AB39*AJ39)</f>
        <v>8.1424041211870595</v>
      </c>
      <c r="BB39" s="59">
        <f t="shared" ref="BB39:BB47" ca="1" si="571">(1488*AZ39*AI39*($B$5/12))/BA39</f>
        <v>13259.637828618805</v>
      </c>
      <c r="BC39">
        <f t="shared" ca="1" si="533"/>
        <v>2.8897647301601284E-2</v>
      </c>
      <c r="BD39" s="59">
        <f t="shared" ref="BD39:BD50" ca="1" si="572">(-2*LOG(($B$7/(3.71*$B$5))+(2.514/(BB39*SQRT(BC39)))))^(-2)</f>
        <v>2.8897647301601284E-2</v>
      </c>
      <c r="BE39" s="59">
        <f t="shared" ref="BE39:BE47" ca="1" si="573">((BD39*AZ39*(AI39^2))/(144*2*32.2*($B$5/12)))+((AZ39*SIN(90))/144)</f>
        <v>0.17341198192492177</v>
      </c>
      <c r="BF39" s="59">
        <f t="shared" ref="BF39:BF47" ca="1" si="574">BE39*100</f>
        <v>17.341198192492175</v>
      </c>
      <c r="BG39" s="59">
        <f t="shared" ref="BG39:BG47" ca="1" si="575">G39+BF39</f>
        <v>348.13379432536311</v>
      </c>
      <c r="BH39" s="59">
        <f t="shared" ref="BH39:BH47" ca="1" si="576">ABS(H39-BG39)/H39</f>
        <v>7.5794125555053915E-3</v>
      </c>
      <c r="BI39" t="str">
        <f t="shared" ca="1" si="65"/>
        <v>Repetir</v>
      </c>
    </row>
    <row r="40" spans="4:61" x14ac:dyDescent="0.25">
      <c r="F40" s="26">
        <f t="shared" ca="1" si="67"/>
        <v>1740.0330972703373</v>
      </c>
      <c r="G40">
        <f ca="1">G39</f>
        <v>330.79259613287093</v>
      </c>
      <c r="H40">
        <f ca="1">BG39</f>
        <v>348.13379432536311</v>
      </c>
      <c r="I40" s="59">
        <f t="shared" ca="1" si="351"/>
        <v>339.46319522911699</v>
      </c>
      <c r="J40">
        <f>J39</f>
        <v>92.5</v>
      </c>
      <c r="K40">
        <f>K39</f>
        <v>95</v>
      </c>
      <c r="L40" s="59">
        <f>L39</f>
        <v>93.75</v>
      </c>
      <c r="M40">
        <f ca="1">FO1</f>
        <v>45.856451812036497</v>
      </c>
      <c r="N40">
        <f ca="1">FO2</f>
        <v>0.70622143754197853</v>
      </c>
      <c r="O40" s="59">
        <f t="shared" ca="1" si="535"/>
        <v>0.69889143533145703</v>
      </c>
      <c r="P40" s="59">
        <f t="shared" ca="1" si="536"/>
        <v>669.16652509073435</v>
      </c>
      <c r="Q40" s="59">
        <f t="shared" ca="1" si="537"/>
        <v>389.03410100297776</v>
      </c>
      <c r="R40" s="59">
        <f t="shared" ca="1" si="538"/>
        <v>0.50729255349867974</v>
      </c>
      <c r="S40" s="59">
        <f t="shared" ca="1" si="539"/>
        <v>1.4233970712910884</v>
      </c>
      <c r="T40" s="59">
        <f t="shared" ca="1" si="540"/>
        <v>0.93874185614203598</v>
      </c>
      <c r="U40" s="59">
        <f t="shared" ca="1" si="541"/>
        <v>4.3289365268022989E-2</v>
      </c>
      <c r="V40" s="59">
        <f t="shared" ca="1" si="542"/>
        <v>1.23345087941877</v>
      </c>
      <c r="W40" s="59">
        <f t="shared" ca="1" si="543"/>
        <v>5.4829858671212008</v>
      </c>
      <c r="X40" s="59">
        <f t="shared" ca="1" si="544"/>
        <v>1.3034028265757598</v>
      </c>
      <c r="Y40" s="59">
        <f t="shared" ca="1" si="545"/>
        <v>111.36000076615848</v>
      </c>
      <c r="Z40" s="60">
        <f t="shared" ca="1" si="546"/>
        <v>1.1310466272629594E-2</v>
      </c>
      <c r="AA40" s="59">
        <f t="shared" si="547"/>
        <v>1.0123618578282416</v>
      </c>
      <c r="AB40" s="42">
        <v>24</v>
      </c>
      <c r="AC40" s="61">
        <f t="shared" ca="1" si="548"/>
        <v>58.895654290064044</v>
      </c>
      <c r="AD40" s="59">
        <f t="shared" si="27"/>
        <v>0.16498815587413193</v>
      </c>
      <c r="AE40" s="59">
        <f t="shared" si="549"/>
        <v>0.32895901803851718</v>
      </c>
      <c r="AF40" s="59">
        <f t="shared" ca="1" si="550"/>
        <v>0.64471480037792306</v>
      </c>
      <c r="AG40" s="59">
        <f t="shared" si="551"/>
        <v>1.9938341409760179</v>
      </c>
      <c r="AH40" s="59">
        <f t="shared" ca="1" si="552"/>
        <v>3.9076429272278825</v>
      </c>
      <c r="AI40" s="59">
        <f t="shared" ca="1" si="553"/>
        <v>5.9014770682039002</v>
      </c>
      <c r="AJ40" s="59">
        <f t="shared" ca="1" si="554"/>
        <v>0.33785340821172355</v>
      </c>
      <c r="AK40" s="59"/>
      <c r="AL40" s="59">
        <f t="shared" ca="1" si="555"/>
        <v>-15.782950725348572</v>
      </c>
      <c r="AM40" s="59">
        <f t="shared" ca="1" si="556"/>
        <v>0.66214659178827651</v>
      </c>
      <c r="AN40" s="59">
        <f t="shared" ca="1" si="557"/>
        <v>16.445097317136849</v>
      </c>
      <c r="AO40" s="59">
        <f t="shared" ca="1" si="558"/>
        <v>25.162183426711753</v>
      </c>
      <c r="AP40" s="59">
        <f t="shared" ca="1" si="559"/>
        <v>4.7794347040650198</v>
      </c>
      <c r="AQ40" s="59">
        <f t="shared" ca="1" si="560"/>
        <v>9.3670400329010128</v>
      </c>
      <c r="AR40" s="59">
        <f t="shared" ca="1" si="561"/>
        <v>68.523712356183012</v>
      </c>
      <c r="AS40" s="59">
        <f t="shared" ca="1" si="562"/>
        <v>0.12126834688864427</v>
      </c>
      <c r="AT40" s="59">
        <f t="shared" ca="1" si="563"/>
        <v>7.3132925853393073E-3</v>
      </c>
      <c r="AU40" s="59">
        <f t="shared" ca="1" si="564"/>
        <v>1.9289668655434592E-4</v>
      </c>
      <c r="AV40" s="59">
        <f t="shared" ca="1" si="565"/>
        <v>0.45604392052449572</v>
      </c>
      <c r="AW40" s="59">
        <f t="shared" ca="1" si="566"/>
        <v>8.9387673015787507E-4</v>
      </c>
      <c r="AX40" s="59">
        <f t="shared" ca="1" si="567"/>
        <v>0.9747188801409773</v>
      </c>
      <c r="AY40" s="59">
        <f t="shared" ca="1" si="568"/>
        <v>0.44451461950873733</v>
      </c>
      <c r="AZ40" s="59">
        <f t="shared" ca="1" si="569"/>
        <v>26.865143288537173</v>
      </c>
      <c r="BA40" s="59">
        <f t="shared" ca="1" si="570"/>
        <v>8.1159709837753233</v>
      </c>
      <c r="BB40" s="59">
        <f t="shared" ca="1" si="571"/>
        <v>13322.746799508453</v>
      </c>
      <c r="BC40">
        <f t="shared" ca="1" si="533"/>
        <v>2.886316483426422E-2</v>
      </c>
      <c r="BD40" s="59">
        <f t="shared" ca="1" si="572"/>
        <v>2.886316483426422E-2</v>
      </c>
      <c r="BE40" s="59">
        <f t="shared" ca="1" si="573"/>
        <v>0.17314081361411779</v>
      </c>
      <c r="BF40" s="59">
        <f t="shared" ca="1" si="574"/>
        <v>17.31408136141178</v>
      </c>
      <c r="BG40" s="59">
        <f t="shared" ca="1" si="575"/>
        <v>348.10667749428274</v>
      </c>
      <c r="BH40" s="59">
        <f t="shared" ca="1" si="576"/>
        <v>7.7891981538092642E-5</v>
      </c>
      <c r="BI40" t="str">
        <f t="shared" ca="1" si="65"/>
        <v>Listo</v>
      </c>
    </row>
    <row r="41" spans="4:61" x14ac:dyDescent="0.25">
      <c r="D41" s="25" t="s">
        <v>105</v>
      </c>
      <c r="F41" s="26">
        <f t="shared" ca="1" si="67"/>
        <v>1749.3753975441018</v>
      </c>
      <c r="G41">
        <f ca="1">BG40</f>
        <v>348.10667749428274</v>
      </c>
      <c r="H41">
        <f ca="1">G41+20</f>
        <v>368.10667749428274</v>
      </c>
      <c r="I41" s="59">
        <f t="shared" ca="1" si="351"/>
        <v>358.10667749428274</v>
      </c>
      <c r="J41">
        <f>K40</f>
        <v>95</v>
      </c>
      <c r="K41">
        <f>(1500+2400)/40</f>
        <v>97.5</v>
      </c>
      <c r="L41" s="59">
        <f t="shared" ref="L41:L49" si="577">(J41+K41)/2</f>
        <v>96.25</v>
      </c>
      <c r="M41">
        <f ca="1">FR1</f>
        <v>48.372894556550179</v>
      </c>
      <c r="N41">
        <f ca="1">FR2</f>
        <v>0.70601408316311909</v>
      </c>
      <c r="O41" s="59">
        <f t="shared" ca="1" si="535"/>
        <v>0.69885841345514554</v>
      </c>
      <c r="P41" s="59">
        <f t="shared" ca="1" si="536"/>
        <v>669.16776062468807</v>
      </c>
      <c r="Q41" s="59">
        <f t="shared" ca="1" si="537"/>
        <v>389.02394584720929</v>
      </c>
      <c r="R41" s="59">
        <f t="shared" ca="1" si="538"/>
        <v>0.53515231690178777</v>
      </c>
      <c r="S41" s="59">
        <f t="shared" ca="1" si="539"/>
        <v>1.4298605675509481</v>
      </c>
      <c r="T41" s="59">
        <f t="shared" ca="1" si="540"/>
        <v>0.93660557553593171</v>
      </c>
      <c r="U41" s="59">
        <f t="shared" ca="1" si="541"/>
        <v>4.1127123439262371E-2</v>
      </c>
      <c r="V41" s="59">
        <f t="shared" ca="1" si="542"/>
        <v>1.2982377157212319</v>
      </c>
      <c r="W41" s="59">
        <f t="shared" ca="1" si="543"/>
        <v>5.4749736661995314</v>
      </c>
      <c r="X41" s="59">
        <f t="shared" ca="1" si="544"/>
        <v>1.3050052667600935</v>
      </c>
      <c r="Y41" s="59">
        <f t="shared" ca="1" si="545"/>
        <v>111.87276295783987</v>
      </c>
      <c r="Z41" s="60">
        <f t="shared" ca="1" si="546"/>
        <v>1.1361009672576207E-2</v>
      </c>
      <c r="AA41" s="59">
        <f t="shared" si="547"/>
        <v>1.0135317268266257</v>
      </c>
      <c r="AB41" s="59">
        <v>24</v>
      </c>
      <c r="AC41" s="61">
        <f t="shared" ca="1" si="548"/>
        <v>58.960880615897253</v>
      </c>
      <c r="AD41" s="59">
        <f t="shared" si="27"/>
        <v>0.16498815587413193</v>
      </c>
      <c r="AE41" s="59">
        <f t="shared" si="549"/>
        <v>0.32933915776223976</v>
      </c>
      <c r="AF41" s="59">
        <f t="shared" ca="1" si="550"/>
        <v>0.60652297988871995</v>
      </c>
      <c r="AG41" s="59">
        <f t="shared" si="551"/>
        <v>1.9961381834796057</v>
      </c>
      <c r="AH41" s="59">
        <f t="shared" ca="1" si="552"/>
        <v>3.6761607321160144</v>
      </c>
      <c r="AI41" s="59">
        <f t="shared" ca="1" si="553"/>
        <v>5.6722989155956203</v>
      </c>
      <c r="AJ41" s="59">
        <f t="shared" ca="1" si="554"/>
        <v>0.35190990693232904</v>
      </c>
      <c r="AK41" s="59"/>
      <c r="AL41" s="59">
        <f t="shared" ca="1" si="555"/>
        <v>-14.499354124088464</v>
      </c>
      <c r="AM41" s="59">
        <f t="shared" ca="1" si="556"/>
        <v>0.64809009306767096</v>
      </c>
      <c r="AN41" s="59">
        <f t="shared" ca="1" si="557"/>
        <v>15.147444217156135</v>
      </c>
      <c r="AO41" s="59">
        <f t="shared" ca="1" si="558"/>
        <v>24.74449199256286</v>
      </c>
      <c r="AP41" s="59">
        <f t="shared" ca="1" si="559"/>
        <v>4.8063537255884263</v>
      </c>
      <c r="AQ41" s="59">
        <f t="shared" ca="1" si="560"/>
        <v>8.8515559578484471</v>
      </c>
      <c r="AR41" s="59">
        <f t="shared" ca="1" si="561"/>
        <v>68.830116787518278</v>
      </c>
      <c r="AS41" s="59">
        <f t="shared" ca="1" si="562"/>
        <v>0.12276642694800791</v>
      </c>
      <c r="AT41" s="59">
        <f t="shared" ca="1" si="563"/>
        <v>7.3589707194344732E-3</v>
      </c>
      <c r="AU41" s="59">
        <f t="shared" ca="1" si="564"/>
        <v>2.0183083901925762E-4</v>
      </c>
      <c r="AV41" s="59">
        <f t="shared" ca="1" si="565"/>
        <v>0.46552163426221804</v>
      </c>
      <c r="AW41" s="59">
        <f t="shared" ca="1" si="566"/>
        <v>8.376866168161777E-4</v>
      </c>
      <c r="AX41" s="59">
        <f t="shared" ca="1" si="567"/>
        <v>0.97471888010982466</v>
      </c>
      <c r="AY41" s="59">
        <f t="shared" ca="1" si="568"/>
        <v>0.45375272601496452</v>
      </c>
      <c r="AZ41" s="59">
        <f t="shared" ca="1" si="569"/>
        <v>27.462819120903539</v>
      </c>
      <c r="BA41" s="59">
        <f t="shared" ca="1" si="570"/>
        <v>8.4532007241919391</v>
      </c>
      <c r="BB41" s="59">
        <f t="shared" ca="1" si="571"/>
        <v>12568.036073591402</v>
      </c>
      <c r="BC41">
        <f t="shared" ca="1" si="533"/>
        <v>2.9291029186780924E-2</v>
      </c>
      <c r="BD41" s="59">
        <f t="shared" ca="1" si="572"/>
        <v>2.9291029186780924E-2</v>
      </c>
      <c r="BE41" s="59">
        <f t="shared" ca="1" si="573"/>
        <v>0.1765870101862323</v>
      </c>
      <c r="BF41" s="59">
        <f t="shared" ca="1" si="574"/>
        <v>17.65870101862323</v>
      </c>
      <c r="BG41" s="59">
        <f t="shared" ca="1" si="575"/>
        <v>365.76537851290595</v>
      </c>
      <c r="BH41" s="59">
        <f t="shared" ca="1" si="576"/>
        <v>6.3603817168275756E-3</v>
      </c>
      <c r="BI41" t="str">
        <f t="shared" ca="1" si="65"/>
        <v>Repetir</v>
      </c>
    </row>
    <row r="42" spans="4:61" x14ac:dyDescent="0.25">
      <c r="F42" s="26">
        <f t="shared" ca="1" si="67"/>
        <v>1749.3707437568823</v>
      </c>
      <c r="G42">
        <f ca="1">G41</f>
        <v>348.10667749428274</v>
      </c>
      <c r="H42">
        <f ca="1">BG41</f>
        <v>365.76537851290595</v>
      </c>
      <c r="I42" s="59">
        <f t="shared" ref="I42:I43" ca="1" si="578">(G42+H42)/2</f>
        <v>356.93602800359434</v>
      </c>
      <c r="J42">
        <f>J41</f>
        <v>95</v>
      </c>
      <c r="K42">
        <f>(1500+2400)/40</f>
        <v>97.5</v>
      </c>
      <c r="L42" s="59">
        <f t="shared" si="577"/>
        <v>96.25</v>
      </c>
      <c r="M42">
        <f ca="1">FT1</f>
        <v>48.196086183394236</v>
      </c>
      <c r="N42">
        <f ca="1">FT2</f>
        <v>0.70602865213770549</v>
      </c>
      <c r="O42" s="59">
        <f t="shared" ca="1" si="535"/>
        <v>0.69886062123572001</v>
      </c>
      <c r="P42" s="59">
        <f t="shared" ca="1" si="536"/>
        <v>669.16767802176173</v>
      </c>
      <c r="Q42" s="59">
        <f t="shared" ca="1" si="537"/>
        <v>389.02462480268429</v>
      </c>
      <c r="R42" s="59">
        <f t="shared" ca="1" si="538"/>
        <v>0.5334029716719022</v>
      </c>
      <c r="S42" s="59">
        <f t="shared" ca="1" si="539"/>
        <v>1.4298580720491241</v>
      </c>
      <c r="T42" s="59">
        <f t="shared" ca="1" si="540"/>
        <v>0.93679501056161296</v>
      </c>
      <c r="U42" s="59">
        <f t="shared" ca="1" si="541"/>
        <v>4.1270354333143175E-2</v>
      </c>
      <c r="V42" s="59">
        <f t="shared" ca="1" si="542"/>
        <v>1.2937362018123135</v>
      </c>
      <c r="W42" s="59">
        <f t="shared" ca="1" si="543"/>
        <v>5.4749743055727862</v>
      </c>
      <c r="X42" s="59">
        <f t="shared" ca="1" si="544"/>
        <v>1.3050051388854427</v>
      </c>
      <c r="Y42" s="59">
        <f t="shared" ca="1" si="545"/>
        <v>111.87265934943537</v>
      </c>
      <c r="Z42" s="60">
        <f t="shared" ca="1" si="546"/>
        <v>1.136099999381247E-2</v>
      </c>
      <c r="AA42" s="59">
        <f t="shared" si="547"/>
        <v>1.0135317268266257</v>
      </c>
      <c r="AB42" s="42">
        <v>24</v>
      </c>
      <c r="AC42" s="61">
        <f t="shared" ca="1" si="548"/>
        <v>58.951523922722238</v>
      </c>
      <c r="AD42" s="59">
        <f t="shared" si="27"/>
        <v>0.16498815587413193</v>
      </c>
      <c r="AE42" s="59">
        <f t="shared" si="549"/>
        <v>0.32933915776223976</v>
      </c>
      <c r="AF42" s="59">
        <f t="shared" ca="1" si="550"/>
        <v>0.60905755689195351</v>
      </c>
      <c r="AG42" s="59">
        <f t="shared" si="551"/>
        <v>1.9961381834796057</v>
      </c>
      <c r="AH42" s="59">
        <f t="shared" ca="1" si="552"/>
        <v>3.6915229075994906</v>
      </c>
      <c r="AI42" s="59">
        <f t="shared" ca="1" si="553"/>
        <v>5.6876610910790966</v>
      </c>
      <c r="AJ42" s="59">
        <f t="shared" ca="1" si="554"/>
        <v>0.35095941047023366</v>
      </c>
      <c r="AK42" s="59"/>
      <c r="AL42" s="59">
        <f t="shared" ca="1" si="555"/>
        <v>-14.583806096332042</v>
      </c>
      <c r="AM42" s="59">
        <f t="shared" ca="1" si="556"/>
        <v>0.64904058952976629</v>
      </c>
      <c r="AN42" s="59">
        <f t="shared" ca="1" si="557"/>
        <v>15.232846685861809</v>
      </c>
      <c r="AO42" s="59">
        <f t="shared" ca="1" si="558"/>
        <v>24.764777291732926</v>
      </c>
      <c r="AP42" s="59">
        <f t="shared" ca="1" si="559"/>
        <v>4.8051785229737245</v>
      </c>
      <c r="AQ42" s="59">
        <f t="shared" ca="1" si="560"/>
        <v>8.8863720655558627</v>
      </c>
      <c r="AR42" s="59">
        <f t="shared" ca="1" si="561"/>
        <v>68.813287120407381</v>
      </c>
      <c r="AS42" s="59">
        <f t="shared" ca="1" si="562"/>
        <v>0.12269586703095713</v>
      </c>
      <c r="AT42" s="59">
        <f t="shared" ca="1" si="563"/>
        <v>7.3568290932158479E-3</v>
      </c>
      <c r="AU42" s="59">
        <f t="shared" ca="1" si="564"/>
        <v>2.0125126186129047E-4</v>
      </c>
      <c r="AV42" s="59">
        <f t="shared" ca="1" si="565"/>
        <v>0.46491711793671636</v>
      </c>
      <c r="AW42" s="59">
        <f t="shared" ca="1" si="566"/>
        <v>8.4137335730593394E-4</v>
      </c>
      <c r="AX42" s="59">
        <f t="shared" ca="1" si="567"/>
        <v>0.97471888011169538</v>
      </c>
      <c r="AY42" s="59">
        <f t="shared" ca="1" si="568"/>
        <v>0.45316349254003319</v>
      </c>
      <c r="AZ42" s="59">
        <f t="shared" ca="1" si="569"/>
        <v>27.422140657551694</v>
      </c>
      <c r="BA42" s="59">
        <f t="shared" ca="1" si="570"/>
        <v>8.4303996014192393</v>
      </c>
      <c r="BB42" s="59">
        <f t="shared" ca="1" si="571"/>
        <v>12617.440878412723</v>
      </c>
      <c r="BC42">
        <f t="shared" ca="1" si="533"/>
        <v>2.9261944085963616E-2</v>
      </c>
      <c r="BD42" s="59">
        <f t="shared" ca="1" si="572"/>
        <v>2.9261944085963609E-2</v>
      </c>
      <c r="BE42" s="59">
        <f t="shared" ca="1" si="573"/>
        <v>0.17635235463604637</v>
      </c>
      <c r="BF42" s="59">
        <f t="shared" ca="1" si="574"/>
        <v>17.635235463604637</v>
      </c>
      <c r="BG42" s="59">
        <f t="shared" ca="1" si="575"/>
        <v>365.74191295788739</v>
      </c>
      <c r="BH42" s="59">
        <f t="shared" ca="1" si="576"/>
        <v>6.4154664156473073E-5</v>
      </c>
      <c r="BI42" t="str">
        <f t="shared" ca="1" si="65"/>
        <v>Listo</v>
      </c>
    </row>
    <row r="43" spans="4:61" x14ac:dyDescent="0.25">
      <c r="D43" s="25" t="s">
        <v>106</v>
      </c>
      <c r="F43" s="26">
        <f t="shared" ca="1" si="67"/>
        <v>1758.7560154324365</v>
      </c>
      <c r="G43">
        <f ca="1">BG42</f>
        <v>365.74191295788739</v>
      </c>
      <c r="H43">
        <f ca="1">G43+20</f>
        <v>385.74191295788739</v>
      </c>
      <c r="I43" s="59">
        <f t="shared" ca="1" si="578"/>
        <v>375.74191295788739</v>
      </c>
      <c r="J43">
        <f>K42</f>
        <v>97.5</v>
      </c>
      <c r="K43">
        <f>(1600+2400)/40</f>
        <v>100</v>
      </c>
      <c r="L43" s="59">
        <f t="shared" si="577"/>
        <v>98.75</v>
      </c>
      <c r="M43">
        <f ca="1">FW1</f>
        <v>50.729557741129497</v>
      </c>
      <c r="N43">
        <f ca="1">FW2</f>
        <v>0.7058198945880424</v>
      </c>
      <c r="O43" s="59">
        <f t="shared" ca="1" si="535"/>
        <v>0.69883063941147294</v>
      </c>
      <c r="P43" s="59">
        <f t="shared" ca="1" si="536"/>
        <v>669.16879974441281</v>
      </c>
      <c r="Q43" s="59">
        <f t="shared" ca="1" si="537"/>
        <v>389.01540452647561</v>
      </c>
      <c r="R43" s="59">
        <f t="shared" ca="1" si="538"/>
        <v>0.5615054274816772</v>
      </c>
      <c r="S43" s="59">
        <f t="shared" ca="1" si="539"/>
        <v>1.4363184426594413</v>
      </c>
      <c r="T43" s="59">
        <f t="shared" ca="1" si="540"/>
        <v>0.93473405879387217</v>
      </c>
      <c r="U43" s="59">
        <f t="shared" ca="1" si="541"/>
        <v>3.9294335823911605E-2</v>
      </c>
      <c r="V43" s="59">
        <f t="shared" ca="1" si="542"/>
        <v>1.3587368187184616</v>
      </c>
      <c r="W43" s="59">
        <f t="shared" ca="1" si="543"/>
        <v>5.4670345970214367</v>
      </c>
      <c r="X43" s="59">
        <f t="shared" ca="1" si="544"/>
        <v>1.3065930805957124</v>
      </c>
      <c r="Y43" s="59">
        <f t="shared" ca="1" si="545"/>
        <v>112.384757765117</v>
      </c>
      <c r="Z43" s="60">
        <f t="shared" ca="1" si="546"/>
        <v>1.1411489816095929E-2</v>
      </c>
      <c r="AA43" s="59">
        <f t="shared" si="547"/>
        <v>1.014707689497329</v>
      </c>
      <c r="AB43" s="59">
        <v>24</v>
      </c>
      <c r="AC43" s="61">
        <f t="shared" ca="1" si="548"/>
        <v>59.017082770516794</v>
      </c>
      <c r="AD43" s="59">
        <f t="shared" si="27"/>
        <v>0.16498815587413193</v>
      </c>
      <c r="AE43" s="59">
        <f t="shared" si="549"/>
        <v>0.32972127757682301</v>
      </c>
      <c r="AF43" s="59">
        <f t="shared" ca="1" si="550"/>
        <v>0.5741349124473254</v>
      </c>
      <c r="AG43" s="59">
        <f t="shared" si="551"/>
        <v>1.9984542273953567</v>
      </c>
      <c r="AH43" s="59">
        <f t="shared" ca="1" si="552"/>
        <v>3.4798553229804452</v>
      </c>
      <c r="AI43" s="59">
        <f t="shared" ca="1" si="553"/>
        <v>5.4783095503758021</v>
      </c>
      <c r="AJ43" s="59">
        <f t="shared" ca="1" si="554"/>
        <v>0.36479395861416164</v>
      </c>
      <c r="AK43" s="59"/>
      <c r="AL43" s="59">
        <f t="shared" ca="1" si="555"/>
        <v>-13.452570883965189</v>
      </c>
      <c r="AM43" s="59">
        <f t="shared" ca="1" si="556"/>
        <v>0.63520604138583836</v>
      </c>
      <c r="AN43" s="59">
        <f t="shared" ca="1" si="557"/>
        <v>14.087776925351028</v>
      </c>
      <c r="AO43" s="59">
        <f t="shared" ca="1" si="558"/>
        <v>24.350581788004956</v>
      </c>
      <c r="AP43" s="59">
        <f t="shared" ca="1" si="559"/>
        <v>4.8324244996484831</v>
      </c>
      <c r="AQ43" s="59">
        <f t="shared" ca="1" si="560"/>
        <v>8.4145725668782756</v>
      </c>
      <c r="AR43" s="59">
        <f t="shared" ca="1" si="561"/>
        <v>69.123266136703833</v>
      </c>
      <c r="AS43" s="59">
        <f t="shared" ca="1" si="562"/>
        <v>0.12422330282752231</v>
      </c>
      <c r="AT43" s="59">
        <f t="shared" ca="1" si="563"/>
        <v>7.402973961489796E-3</v>
      </c>
      <c r="AU43" s="59">
        <f t="shared" ca="1" si="564"/>
        <v>2.1028623466954165E-4</v>
      </c>
      <c r="AV43" s="59">
        <f t="shared" ca="1" si="565"/>
        <v>0.47418419229464448</v>
      </c>
      <c r="AW43" s="59">
        <f t="shared" ca="1" si="566"/>
        <v>7.9005344416690929E-4</v>
      </c>
      <c r="AX43" s="59">
        <f t="shared" ca="1" si="567"/>
        <v>0.97471888008768148</v>
      </c>
      <c r="AY43" s="59">
        <f t="shared" ca="1" si="568"/>
        <v>0.46219628486871767</v>
      </c>
      <c r="AZ43" s="59">
        <f t="shared" ca="1" si="569"/>
        <v>28.00821010931492</v>
      </c>
      <c r="BA43" s="59">
        <f t="shared" ca="1" si="570"/>
        <v>8.7623036540122765</v>
      </c>
      <c r="BB43" s="59">
        <f t="shared" ca="1" si="571"/>
        <v>11942.575602807741</v>
      </c>
      <c r="BC43">
        <f t="shared" ca="1" si="533"/>
        <v>2.9673475381306273E-2</v>
      </c>
      <c r="BD43" s="59">
        <f t="shared" ca="1" si="572"/>
        <v>2.9673475381306273E-2</v>
      </c>
      <c r="BE43" s="59">
        <f t="shared" ca="1" si="573"/>
        <v>0.17975202029705034</v>
      </c>
      <c r="BF43" s="59">
        <f t="shared" ca="1" si="574"/>
        <v>17.975202029705034</v>
      </c>
      <c r="BG43" s="59">
        <f t="shared" ca="1" si="575"/>
        <v>383.71711498759242</v>
      </c>
      <c r="BH43" s="59">
        <f t="shared" ca="1" si="576"/>
        <v>5.2491002462468281E-3</v>
      </c>
      <c r="BI43" t="str">
        <f t="shared" ca="1" si="65"/>
        <v>Repetir</v>
      </c>
    </row>
    <row r="44" spans="4:61" x14ac:dyDescent="0.25">
      <c r="F44" s="26">
        <f t="shared" ca="1" si="67"/>
        <v>1758.7523875213631</v>
      </c>
      <c r="G44">
        <f ca="1">BG42</f>
        <v>365.74191295788739</v>
      </c>
      <c r="H44">
        <f ca="1">BG43</f>
        <v>383.71711498759242</v>
      </c>
      <c r="I44" s="59">
        <f t="shared" ref="I44" ca="1" si="579">(G44+H44)/2</f>
        <v>374.72951397273994</v>
      </c>
      <c r="J44">
        <f>J43</f>
        <v>97.5</v>
      </c>
      <c r="K44">
        <f>(1600+2400)/40</f>
        <v>100</v>
      </c>
      <c r="L44" s="59">
        <f t="shared" si="577"/>
        <v>98.75</v>
      </c>
      <c r="M44">
        <f ca="1">FY1</f>
        <v>50.576284129943403</v>
      </c>
      <c r="N44">
        <f ca="1">FY2</f>
        <v>0.7058325243029494</v>
      </c>
      <c r="O44" s="59">
        <f t="shared" ca="1" si="535"/>
        <v>0.69883235139330135</v>
      </c>
      <c r="P44" s="59">
        <f t="shared" ca="1" si="536"/>
        <v>669.16873569512859</v>
      </c>
      <c r="Q44" s="59">
        <f t="shared" ca="1" si="537"/>
        <v>389.01593101089935</v>
      </c>
      <c r="R44" s="59">
        <f t="shared" ca="1" si="538"/>
        <v>0.55999256089493343</v>
      </c>
      <c r="S44" s="59">
        <f t="shared" ca="1" si="539"/>
        <v>1.4363164987820127</v>
      </c>
      <c r="T44" s="59">
        <f t="shared" ca="1" si="540"/>
        <v>0.9348939787584829</v>
      </c>
      <c r="U44" s="59">
        <f t="shared" ca="1" si="541"/>
        <v>3.9407237394697439E-2</v>
      </c>
      <c r="V44" s="59">
        <f t="shared" ca="1" si="542"/>
        <v>1.3548473624703361</v>
      </c>
      <c r="W44" s="59">
        <f t="shared" ca="1" si="543"/>
        <v>5.4670350928113747</v>
      </c>
      <c r="X44" s="59">
        <f t="shared" ca="1" si="544"/>
        <v>1.3065929814377248</v>
      </c>
      <c r="Y44" s="59">
        <f t="shared" ca="1" si="545"/>
        <v>112.38467725479012</v>
      </c>
      <c r="Z44" s="60">
        <f t="shared" ca="1" si="546"/>
        <v>1.1411482292763338E-2</v>
      </c>
      <c r="AA44" s="59">
        <f t="shared" si="547"/>
        <v>1.014707689497329</v>
      </c>
      <c r="AB44" s="42">
        <v>24</v>
      </c>
      <c r="AC44" s="61">
        <f t="shared" ca="1" si="548"/>
        <v>59.008985440804828</v>
      </c>
      <c r="AD44" s="59">
        <f t="shared" si="27"/>
        <v>0.16498815587413193</v>
      </c>
      <c r="AE44" s="59">
        <f t="shared" si="549"/>
        <v>0.32972127757682301</v>
      </c>
      <c r="AF44" s="59">
        <f t="shared" ca="1" si="550"/>
        <v>0.57613407495346425</v>
      </c>
      <c r="AG44" s="59">
        <f t="shared" si="551"/>
        <v>1.9984542273953567</v>
      </c>
      <c r="AH44" s="59">
        <f t="shared" ca="1" si="552"/>
        <v>3.4919723291712654</v>
      </c>
      <c r="AI44" s="59">
        <f t="shared" ca="1" si="553"/>
        <v>5.4904265565666224</v>
      </c>
      <c r="AJ44" s="59">
        <f t="shared" ca="1" si="554"/>
        <v>0.36398888261335166</v>
      </c>
      <c r="AK44" s="59"/>
      <c r="AL44" s="59">
        <f t="shared" ca="1" si="555"/>
        <v>-13.516888833401945</v>
      </c>
      <c r="AM44" s="59">
        <f t="shared" ca="1" si="556"/>
        <v>0.63601111738664828</v>
      </c>
      <c r="AN44" s="59">
        <f t="shared" ca="1" si="557"/>
        <v>14.152899950788592</v>
      </c>
      <c r="AO44" s="59">
        <f t="shared" ca="1" si="558"/>
        <v>24.367844657204351</v>
      </c>
      <c r="AP44" s="59">
        <f t="shared" ca="1" si="559"/>
        <v>4.8314026805663799</v>
      </c>
      <c r="AQ44" s="59">
        <f t="shared" ca="1" si="560"/>
        <v>8.4420870092232754</v>
      </c>
      <c r="AR44" s="59">
        <f t="shared" ca="1" si="561"/>
        <v>69.108649980287751</v>
      </c>
      <c r="AS44" s="59">
        <f t="shared" ca="1" si="562"/>
        <v>0.12416155356783104</v>
      </c>
      <c r="AT44" s="59">
        <f t="shared" ca="1" si="563"/>
        <v>7.4011172205359623E-3</v>
      </c>
      <c r="AU44" s="59">
        <f t="shared" ca="1" si="564"/>
        <v>2.0978262584231874E-4</v>
      </c>
      <c r="AV44" s="59">
        <f t="shared" ca="1" si="565"/>
        <v>0.47367630479319073</v>
      </c>
      <c r="AW44" s="59">
        <f t="shared" ca="1" si="566"/>
        <v>7.9295616872689524E-4</v>
      </c>
      <c r="AX44" s="59">
        <f t="shared" ca="1" si="567"/>
        <v>0.97471888008892704</v>
      </c>
      <c r="AY44" s="59">
        <f t="shared" ca="1" si="568"/>
        <v>0.46170123733268015</v>
      </c>
      <c r="AZ44" s="59">
        <f t="shared" ca="1" si="569"/>
        <v>27.97383425058656</v>
      </c>
      <c r="BA44" s="59">
        <f t="shared" ca="1" si="570"/>
        <v>8.7429910123244969</v>
      </c>
      <c r="BB44" s="59">
        <f t="shared" ca="1" si="571"/>
        <v>11980.706429754046</v>
      </c>
      <c r="BC44">
        <f t="shared" ca="1" si="533"/>
        <v>2.9649372699759213E-2</v>
      </c>
      <c r="BD44" s="59">
        <f t="shared" ca="1" si="572"/>
        <v>2.9649372699759213E-2</v>
      </c>
      <c r="BE44" s="59">
        <f ca="1">((BD44*AZ44*(AI44^2))/(144*2*32.2*($B$5/12)))+((AZ44*SIN(90))/144)</f>
        <v>0.17955257616304335</v>
      </c>
      <c r="BF44" s="59">
        <f t="shared" ca="1" si="574"/>
        <v>17.955257616304333</v>
      </c>
      <c r="BG44" s="59">
        <f t="shared" ca="1" si="575"/>
        <v>383.69717057419172</v>
      </c>
      <c r="BH44" s="59">
        <f t="shared" ca="1" si="576"/>
        <v>5.1976866868064979E-5</v>
      </c>
      <c r="BI44" t="str">
        <f t="shared" ca="1" si="65"/>
        <v>Listo</v>
      </c>
    </row>
    <row r="45" spans="4:61" x14ac:dyDescent="0.25">
      <c r="D45" s="25" t="s">
        <v>107</v>
      </c>
      <c r="F45" s="26">
        <f t="shared" ca="1" si="67"/>
        <v>1768.1803583604851</v>
      </c>
      <c r="G45">
        <f ca="1">BG44</f>
        <v>383.69717057419172</v>
      </c>
      <c r="H45">
        <f ca="1">G45+20</f>
        <v>403.69717057419172</v>
      </c>
      <c r="I45" s="59">
        <f t="shared" ref="I45:I50" ca="1" si="580">(G45+H45)/2</f>
        <v>393.69717057419172</v>
      </c>
      <c r="J45">
        <f>K44</f>
        <v>100</v>
      </c>
      <c r="K45">
        <f>(1700+2400)/40</f>
        <v>102.5</v>
      </c>
      <c r="L45" s="59">
        <f t="shared" si="577"/>
        <v>101.25</v>
      </c>
      <c r="M45">
        <f ca="1">GB1</f>
        <v>53.125839255406845</v>
      </c>
      <c r="N45">
        <f ca="1">GB2</f>
        <v>0.70562244147052233</v>
      </c>
      <c r="O45" s="59">
        <f t="shared" ca="1" si="535"/>
        <v>0.69880561439438393</v>
      </c>
      <c r="P45" s="59">
        <f t="shared" ca="1" si="536"/>
        <v>669.16973596432399</v>
      </c>
      <c r="Q45" s="59">
        <f t="shared" ca="1" si="537"/>
        <v>389.00770859431088</v>
      </c>
      <c r="R45" s="59">
        <f t="shared" ca="1" si="538"/>
        <v>0.58833678424928237</v>
      </c>
      <c r="S45" s="59">
        <f t="shared" ca="1" si="539"/>
        <v>1.4427734659245981</v>
      </c>
      <c r="T45" s="59">
        <f t="shared" ca="1" si="540"/>
        <v>0.93290816533646337</v>
      </c>
      <c r="U45" s="59">
        <f t="shared" ca="1" si="541"/>
        <v>3.7596459234440972E-2</v>
      </c>
      <c r="V45" s="59">
        <f t="shared" ca="1" si="542"/>
        <v>1.4200472604830596</v>
      </c>
      <c r="W45" s="59">
        <f t="shared" ca="1" si="543"/>
        <v>5.4591669789798383</v>
      </c>
      <c r="X45" s="59">
        <f t="shared" ca="1" si="544"/>
        <v>1.3081666042040323</v>
      </c>
      <c r="Y45" s="59">
        <f t="shared" ca="1" si="545"/>
        <v>112.89610096943687</v>
      </c>
      <c r="Z45" s="60">
        <f t="shared" ca="1" si="546"/>
        <v>1.1461917248545391E-2</v>
      </c>
      <c r="AA45" s="59">
        <f t="shared" si="547"/>
        <v>1.0158896220843772</v>
      </c>
      <c r="AB45" s="59">
        <v>24</v>
      </c>
      <c r="AC45" s="61">
        <f t="shared" ca="1" si="548"/>
        <v>59.074828196567424</v>
      </c>
      <c r="AD45" s="59">
        <f t="shared" si="27"/>
        <v>0.16498815587413193</v>
      </c>
      <c r="AE45" s="59">
        <f t="shared" si="549"/>
        <v>0.33010533726873714</v>
      </c>
      <c r="AF45" s="59">
        <f t="shared" ca="1" si="550"/>
        <v>0.54411336542902089</v>
      </c>
      <c r="AG45" s="59">
        <f t="shared" si="551"/>
        <v>2.0007820289874125</v>
      </c>
      <c r="AH45" s="59">
        <f t="shared" ca="1" si="552"/>
        <v>3.2978934914826272</v>
      </c>
      <c r="AI45" s="59">
        <f t="shared" ca="1" si="553"/>
        <v>5.2986755204700398</v>
      </c>
      <c r="AJ45" s="59">
        <f t="shared" ca="1" si="554"/>
        <v>0.37760040622565338</v>
      </c>
      <c r="AK45" s="59"/>
      <c r="AL45" s="59">
        <f t="shared" ca="1" si="555"/>
        <v>-12.515729285801104</v>
      </c>
      <c r="AM45" s="59">
        <f t="shared" ca="1" si="556"/>
        <v>0.62239959377434662</v>
      </c>
      <c r="AN45" s="59">
        <f t="shared" ca="1" si="557"/>
        <v>13.138128879575451</v>
      </c>
      <c r="AO45" s="59">
        <f t="shared" ca="1" si="558"/>
        <v>23.957245169258215</v>
      </c>
      <c r="AP45" s="59">
        <f t="shared" ca="1" si="559"/>
        <v>4.8589781723717858</v>
      </c>
      <c r="AQ45" s="59">
        <f t="shared" ca="1" si="560"/>
        <v>8.0090645846269126</v>
      </c>
      <c r="AR45" s="59">
        <f t="shared" ca="1" si="561"/>
        <v>69.422228248804146</v>
      </c>
      <c r="AS45" s="59">
        <f t="shared" ca="1" si="562"/>
        <v>0.12571909274167992</v>
      </c>
      <c r="AT45" s="59">
        <f t="shared" ca="1" si="563"/>
        <v>7.447727241994666E-3</v>
      </c>
      <c r="AU45" s="59">
        <f t="shared" ca="1" si="564"/>
        <v>2.1892488255200322E-4</v>
      </c>
      <c r="AV45" s="59">
        <f t="shared" ca="1" si="565"/>
        <v>0.48274306397807204</v>
      </c>
      <c r="AW45" s="59">
        <f t="shared" ca="1" si="566"/>
        <v>7.4595911405291439E-4</v>
      </c>
      <c r="AX45" s="59">
        <f t="shared" ca="1" si="567"/>
        <v>0.97471888007030349</v>
      </c>
      <c r="AY45" s="59">
        <f t="shared" ca="1" si="568"/>
        <v>0.47053877868241323</v>
      </c>
      <c r="AZ45" s="59">
        <f t="shared" ca="1" si="569"/>
        <v>28.548857467350278</v>
      </c>
      <c r="BA45" s="59">
        <f t="shared" ca="1" si="570"/>
        <v>9.0695436420550521</v>
      </c>
      <c r="BB45" s="59">
        <f t="shared" ca="1" si="571"/>
        <v>11375.094076594152</v>
      </c>
      <c r="BC45">
        <f t="shared" ca="1" si="533"/>
        <v>3.0045266842859648E-2</v>
      </c>
      <c r="BD45" s="59">
        <f t="shared" ca="1" si="572"/>
        <v>3.0045266842859648E-2</v>
      </c>
      <c r="BE45" s="59">
        <f ca="1">((BD45*AZ45*(AI45^2))/(144*2*32.2*($B$5/12)))+((AZ45*SIN(90))/144)</f>
        <v>0.18290607163471204</v>
      </c>
      <c r="BF45" s="59">
        <f t="shared" ref="BF45" ca="1" si="581">BE45*100</f>
        <v>18.290607163471204</v>
      </c>
      <c r="BG45" s="59">
        <f ca="1">G45+BF45</f>
        <v>401.9877777376629</v>
      </c>
      <c r="BH45" s="59">
        <f t="shared" ref="BH45" ca="1" si="582">ABS(H45-BG45)/H45</f>
        <v>4.2343443579193167E-3</v>
      </c>
      <c r="BI45" t="str">
        <f t="shared" ca="1" si="65"/>
        <v>Repetir</v>
      </c>
    </row>
    <row r="46" spans="4:61" x14ac:dyDescent="0.25">
      <c r="F46" s="26">
        <f t="shared" ca="1" si="67"/>
        <v>1768.1776532699505</v>
      </c>
      <c r="G46">
        <f ca="1">G45</f>
        <v>383.69717057419172</v>
      </c>
      <c r="H46">
        <f ca="1">BG45</f>
        <v>401.9877777376629</v>
      </c>
      <c r="I46" s="59">
        <f t="shared" ca="1" si="580"/>
        <v>392.84247415592733</v>
      </c>
      <c r="J46">
        <f>J45</f>
        <v>100</v>
      </c>
      <c r="K46">
        <f>K45</f>
        <v>102.5</v>
      </c>
      <c r="L46" s="59">
        <f t="shared" si="577"/>
        <v>101.25</v>
      </c>
      <c r="M46">
        <f ca="1">GE1</f>
        <v>52.996158963785831</v>
      </c>
      <c r="N46">
        <f ca="1">GE2</f>
        <v>0.70563312710061576</v>
      </c>
      <c r="O46" s="59">
        <f t="shared" ca="1" si="535"/>
        <v>0.69880688415136771</v>
      </c>
      <c r="P46" s="59">
        <f t="shared" ca="1" si="536"/>
        <v>669.16968846212012</v>
      </c>
      <c r="Q46" s="59">
        <f t="shared" ca="1" si="537"/>
        <v>389.00809908247771</v>
      </c>
      <c r="R46" s="59">
        <f t="shared" ca="1" si="538"/>
        <v>0.58705957685972665</v>
      </c>
      <c r="S46" s="59">
        <f t="shared" ca="1" si="539"/>
        <v>1.44277201766178</v>
      </c>
      <c r="T46" s="59">
        <f t="shared" ca="1" si="540"/>
        <v>0.93303991919412244</v>
      </c>
      <c r="U46" s="59">
        <f t="shared" ca="1" si="541"/>
        <v>3.7683578071989687E-2</v>
      </c>
      <c r="V46" s="59">
        <f t="shared" ca="1" si="542"/>
        <v>1.4167668963698692</v>
      </c>
      <c r="W46" s="59">
        <f t="shared" ca="1" si="543"/>
        <v>5.4591673467014612</v>
      </c>
      <c r="X46" s="59">
        <f t="shared" ca="1" si="544"/>
        <v>1.3081665306597077</v>
      </c>
      <c r="Y46" s="59">
        <f t="shared" ca="1" si="545"/>
        <v>112.89604113155416</v>
      </c>
      <c r="Z46" s="60">
        <f t="shared" ca="1" si="546"/>
        <v>1.1461911655269112E-2</v>
      </c>
      <c r="AA46" s="59">
        <f t="shared" si="547"/>
        <v>1.0158896220843772</v>
      </c>
      <c r="AB46" s="42">
        <v>24</v>
      </c>
      <c r="AC46" s="61">
        <f t="shared" ca="1" si="548"/>
        <v>59.067989125192213</v>
      </c>
      <c r="AD46" s="59">
        <f t="shared" si="27"/>
        <v>0.16498815587413193</v>
      </c>
      <c r="AE46" s="59">
        <f t="shared" si="549"/>
        <v>0.33010533726873714</v>
      </c>
      <c r="AF46" s="59">
        <f t="shared" ca="1" si="550"/>
        <v>0.54565699151508074</v>
      </c>
      <c r="AG46" s="59">
        <f t="shared" si="551"/>
        <v>2.0007820289874125</v>
      </c>
      <c r="AH46" s="59">
        <f t="shared" ca="1" si="552"/>
        <v>3.3072494726915904</v>
      </c>
      <c r="AI46" s="59">
        <f t="shared" ca="1" si="553"/>
        <v>5.308031501679003</v>
      </c>
      <c r="AJ46" s="59">
        <f t="shared" ca="1" si="554"/>
        <v>0.37693484455669446</v>
      </c>
      <c r="AK46" s="59"/>
      <c r="AL46" s="59">
        <f t="shared" ca="1" si="555"/>
        <v>-12.563752385204374</v>
      </c>
      <c r="AM46" s="59">
        <f t="shared" ca="1" si="556"/>
        <v>0.62306515544330554</v>
      </c>
      <c r="AN46" s="59">
        <f t="shared" ca="1" si="557"/>
        <v>13.186817540647679</v>
      </c>
      <c r="AO46" s="59">
        <f t="shared" ca="1" si="558"/>
        <v>23.971582777982881</v>
      </c>
      <c r="AP46" s="59">
        <f t="shared" ca="1" si="559"/>
        <v>4.8581108446479861</v>
      </c>
      <c r="AQ46" s="59">
        <f t="shared" ca="1" si="560"/>
        <v>8.0303522804884366</v>
      </c>
      <c r="AR46" s="59">
        <f t="shared" ca="1" si="561"/>
        <v>69.4098363793468</v>
      </c>
      <c r="AS46" s="59">
        <f t="shared" ca="1" si="562"/>
        <v>0.12566633051994797</v>
      </c>
      <c r="AT46" s="59">
        <f t="shared" ca="1" si="563"/>
        <v>7.446155909616013E-3</v>
      </c>
      <c r="AU46" s="59">
        <f t="shared" ca="1" si="564"/>
        <v>2.1849738366766657E-4</v>
      </c>
      <c r="AV46" s="59">
        <f t="shared" ca="1" si="565"/>
        <v>0.48232619485836264</v>
      </c>
      <c r="AW46" s="59">
        <f t="shared" ca="1" si="566"/>
        <v>7.4819621494936453E-4</v>
      </c>
      <c r="AX46" s="59">
        <f t="shared" ca="1" si="567"/>
        <v>0.97471888007111795</v>
      </c>
      <c r="AY46" s="59">
        <f t="shared" ca="1" si="568"/>
        <v>0.47013244848130703</v>
      </c>
      <c r="AZ46" s="59">
        <f t="shared" ca="1" si="569"/>
        <v>28.520477160746072</v>
      </c>
      <c r="BA46" s="59">
        <f t="shared" ca="1" si="570"/>
        <v>9.0535777871278356</v>
      </c>
      <c r="BB46" s="59">
        <f t="shared" ca="1" si="571"/>
        <v>11403.926672335447</v>
      </c>
      <c r="BC46">
        <f t="shared" ca="1" si="533"/>
        <v>3.002576174181474E-2</v>
      </c>
      <c r="BD46" s="59">
        <f t="shared" ca="1" si="572"/>
        <v>3.002576174181474E-2</v>
      </c>
      <c r="BE46" s="59">
        <f t="shared" ca="1" si="573"/>
        <v>0.18274056442920708</v>
      </c>
      <c r="BF46" s="59">
        <f t="shared" ca="1" si="574"/>
        <v>18.27405644292071</v>
      </c>
      <c r="BG46" s="59">
        <f ca="1">G46+BF46</f>
        <v>401.97122701711243</v>
      </c>
      <c r="BH46" s="59">
        <f t="shared" ref="BH46" ca="1" si="583">ABS(H46-BG46)/H46</f>
        <v>4.1172198427561578E-5</v>
      </c>
      <c r="BI46" t="str">
        <f t="shared" ca="1" si="65"/>
        <v>Listo</v>
      </c>
    </row>
    <row r="47" spans="4:61" x14ac:dyDescent="0.25">
      <c r="D47" s="25" t="s">
        <v>108</v>
      </c>
      <c r="F47" s="26">
        <f t="shared" ca="1" si="67"/>
        <v>1777.6480284379813</v>
      </c>
      <c r="G47">
        <f ca="1">BG46</f>
        <v>401.97122701711243</v>
      </c>
      <c r="H47">
        <f ca="1">G47+20</f>
        <v>421.97122701711243</v>
      </c>
      <c r="I47" s="59">
        <f t="shared" ca="1" si="580"/>
        <v>411.97122701711243</v>
      </c>
      <c r="J47">
        <f>K46</f>
        <v>102.5</v>
      </c>
      <c r="K47">
        <f>(1800+2400)/40</f>
        <v>105</v>
      </c>
      <c r="L47" s="59">
        <f t="shared" si="577"/>
        <v>103.75</v>
      </c>
      <c r="M47">
        <f ca="1">GH1</f>
        <v>55.560873040290055</v>
      </c>
      <c r="N47">
        <f ca="1">GH2</f>
        <v>0.70542179517365466</v>
      </c>
      <c r="O47" s="59">
        <f t="shared" ca="1" si="535"/>
        <v>0.69878360292647868</v>
      </c>
      <c r="P47" s="59">
        <f t="shared" ca="1" si="536"/>
        <v>669.17055940443799</v>
      </c>
      <c r="Q47" s="59">
        <f t="shared" ca="1" si="537"/>
        <v>389.0009394046192</v>
      </c>
      <c r="R47" s="59">
        <f t="shared" ca="1" si="538"/>
        <v>0.61564457854178001</v>
      </c>
      <c r="S47" s="59">
        <f t="shared" ca="1" si="539"/>
        <v>1.4492252920078827</v>
      </c>
      <c r="T47" s="59">
        <f t="shared" ca="1" si="540"/>
        <v>0.93112901164900208</v>
      </c>
      <c r="U47" s="59">
        <f t="shared" ca="1" si="541"/>
        <v>3.601998431621431E-2</v>
      </c>
      <c r="V47" s="59">
        <f t="shared" ca="1" si="542"/>
        <v>1.4821513189707554</v>
      </c>
      <c r="W47" s="59">
        <f t="shared" ca="1" si="543"/>
        <v>5.4513699487024088</v>
      </c>
      <c r="X47" s="59">
        <f t="shared" ca="1" si="544"/>
        <v>1.3097260102595181</v>
      </c>
      <c r="Y47" s="59">
        <f t="shared" ca="1" si="545"/>
        <v>113.40677888669578</v>
      </c>
      <c r="Z47" s="60">
        <f t="shared" ca="1" si="546"/>
        <v>1.1512290430766198E-2</v>
      </c>
      <c r="AA47" s="59">
        <f t="shared" si="547"/>
        <v>1.0170774063474515</v>
      </c>
      <c r="AB47" s="59">
        <v>24</v>
      </c>
      <c r="AC47" s="61">
        <f t="shared" ca="1" si="548"/>
        <v>59.134068251826783</v>
      </c>
      <c r="AD47" s="59">
        <f t="shared" si="27"/>
        <v>0.16498815587413193</v>
      </c>
      <c r="AE47" s="59">
        <f t="shared" si="549"/>
        <v>0.33049129841672109</v>
      </c>
      <c r="AF47" s="59">
        <f t="shared" ca="1" si="550"/>
        <v>0.51622208732713659</v>
      </c>
      <c r="AG47" s="59">
        <f t="shared" si="551"/>
        <v>2.003121355382929</v>
      </c>
      <c r="AH47" s="59">
        <f t="shared" ca="1" si="552"/>
        <v>3.1288433075217719</v>
      </c>
      <c r="AI47" s="59">
        <f t="shared" ca="1" si="553"/>
        <v>5.1319646629047009</v>
      </c>
      <c r="AJ47" s="59">
        <f t="shared" ca="1" si="554"/>
        <v>0.39032251524685263</v>
      </c>
      <c r="AK47" s="59"/>
      <c r="AL47" s="59">
        <f t="shared" ca="1" si="555"/>
        <v>-11.674227345281285</v>
      </c>
      <c r="AM47" s="59">
        <f t="shared" ca="1" si="556"/>
        <v>0.60967748475314743</v>
      </c>
      <c r="AN47" s="59">
        <f t="shared" ca="1" si="557"/>
        <v>12.283904830034432</v>
      </c>
      <c r="AO47" s="59">
        <f t="shared" ca="1" si="558"/>
        <v>23.564676149818659</v>
      </c>
      <c r="AP47" s="59">
        <f t="shared" ca="1" si="559"/>
        <v>4.8860184703676071</v>
      </c>
      <c r="AQ47" s="59">
        <f t="shared" ca="1" si="560"/>
        <v>7.6318821874448952</v>
      </c>
      <c r="AR47" s="59">
        <f t="shared" ca="1" si="561"/>
        <v>69.727038882112112</v>
      </c>
      <c r="AS47" s="59">
        <f t="shared" ca="1" si="562"/>
        <v>0.12725473965224365</v>
      </c>
      <c r="AT47" s="59">
        <f t="shared" ca="1" si="563"/>
        <v>7.4932290036351908E-3</v>
      </c>
      <c r="AU47" s="59">
        <f t="shared" ca="1" si="564"/>
        <v>2.2775327960783889E-4</v>
      </c>
      <c r="AV47" s="59">
        <f t="shared" ca="1" si="565"/>
        <v>0.49120203632465914</v>
      </c>
      <c r="AW47" s="59">
        <f t="shared" ca="1" si="566"/>
        <v>7.0505084685211917E-4</v>
      </c>
      <c r="AX47" s="59">
        <f t="shared" ca="1" si="567"/>
        <v>0.97471888005659324</v>
      </c>
      <c r="AY47" s="59">
        <f t="shared" ca="1" si="568"/>
        <v>0.47878389872788979</v>
      </c>
      <c r="AZ47" s="59">
        <f t="shared" ca="1" si="569"/>
        <v>29.084960877220009</v>
      </c>
      <c r="BA47" s="59">
        <f t="shared" ca="1" si="570"/>
        <v>9.3747591501980416</v>
      </c>
      <c r="BB47" s="59">
        <f t="shared" ca="1" si="571"/>
        <v>10858.664050325095</v>
      </c>
      <c r="BC47">
        <f t="shared" ca="1" si="533"/>
        <v>3.0406666859229121E-2</v>
      </c>
      <c r="BD47" s="59">
        <f t="shared" ca="1" si="572"/>
        <v>3.0406666859229121E-2</v>
      </c>
      <c r="BE47" s="59">
        <f t="shared" ca="1" si="573"/>
        <v>0.18604838571562976</v>
      </c>
      <c r="BF47" s="59">
        <f t="shared" ca="1" si="574"/>
        <v>18.604838571562976</v>
      </c>
      <c r="BG47" s="59">
        <f t="shared" ca="1" si="575"/>
        <v>420.57606558867542</v>
      </c>
      <c r="BH47" s="59">
        <f t="shared" ca="1" si="576"/>
        <v>3.306295166851336E-3</v>
      </c>
      <c r="BI47" t="str">
        <f t="shared" ca="1" si="65"/>
        <v>Repetir</v>
      </c>
    </row>
    <row r="48" spans="4:61" x14ac:dyDescent="0.25">
      <c r="F48" s="26">
        <f t="shared" ca="1" si="67"/>
        <v>1777.6461320583271</v>
      </c>
      <c r="G48">
        <f ca="1">G47</f>
        <v>401.97122701711243</v>
      </c>
      <c r="H48">
        <f ca="1">BG47</f>
        <v>420.57606558867542</v>
      </c>
      <c r="I48" s="59">
        <f t="shared" ca="1" si="580"/>
        <v>411.27364630289389</v>
      </c>
      <c r="J48">
        <f>J47</f>
        <v>102.5</v>
      </c>
      <c r="K48">
        <f>K47</f>
        <v>105</v>
      </c>
      <c r="L48" s="59">
        <f t="shared" si="577"/>
        <v>103.75</v>
      </c>
      <c r="M48">
        <f ca="1">GK1</f>
        <v>55.454829620618362</v>
      </c>
      <c r="N48">
        <f ca="1">GK2</f>
        <v>0.70543053313022697</v>
      </c>
      <c r="O48" s="59">
        <f t="shared" ref="O48:O60" ca="1" si="584">(ABS(($B$16*$B$8)-(M48*N48)))/($B$16-M48)</f>
        <v>0.6987844883760661</v>
      </c>
      <c r="P48" s="59">
        <f t="shared" ref="P48:P60" ca="1" si="585">677+(15*O48)-(37.5*O48^2)</f>
        <v>669.17052628082854</v>
      </c>
      <c r="Q48" s="59">
        <f t="shared" ref="Q48:Q60" ca="1" si="586">168+(325*O48)-(12.5*O48^2)</f>
        <v>389.00121170728397</v>
      </c>
      <c r="R48" s="59">
        <f t="shared" ref="R48:R60" ca="1" si="587">I48/P48</f>
        <v>0.61460215318912004</v>
      </c>
      <c r="S48" s="59">
        <f t="shared" ref="S48:S60" ca="1" si="588">(L48+460)/Q48</f>
        <v>1.4492242775434108</v>
      </c>
      <c r="T48" s="59">
        <f t="shared" ref="T48:T60" ca="1" si="589">1-((3.25*R48)/(10^(0.9813*S48)))+((0.274*R48^2)/(10^(0.8157*S48)))</f>
        <v>0.93123392418479101</v>
      </c>
      <c r="U48" s="59">
        <f t="shared" ref="U48:U60" ca="1" si="590">(T48*(L48+460)/I48)*($B$17/(520))</f>
        <v>3.6085144859583446E-2</v>
      </c>
      <c r="V48" s="59">
        <f t="shared" ref="V48:V60" ca="1" si="591">(O48*$B$18)/U48</f>
        <v>1.4794768074140892</v>
      </c>
      <c r="W48" s="59">
        <f t="shared" ref="W48:W60" ca="1" si="592">3.5+(986/(L48+460))+(0.2896*O48)</f>
        <v>5.451370205128609</v>
      </c>
      <c r="X48" s="59">
        <f t="shared" ref="X48:X60" ca="1" si="593">2.4-(0.2*W48)</f>
        <v>1.309725958974278</v>
      </c>
      <c r="Y48" s="59">
        <f t="shared" ref="Y48:Y60" ca="1" si="594">((9.4+(0.5792*O48))*(L48+460)^1.5)/((209+(550.24*O48)+(L48+460)))</f>
        <v>113.40673707359072</v>
      </c>
      <c r="Z48" s="60">
        <f t="shared" ref="Z48:Z60" ca="1" si="595">Y48*((10^(-4))*EXP(W48*(O48/62.928)^X48))</f>
        <v>1.1512286521173563E-2</v>
      </c>
      <c r="AA48" s="59">
        <f t="shared" ref="AA48:AA60" si="596">0.9759+0.00012*(BT47*((BT48/$B$19)^0.5)+(1.25*L48))^1.2</f>
        <v>1.0170774063474515</v>
      </c>
      <c r="AB48" s="42">
        <v>24</v>
      </c>
      <c r="AC48" s="61">
        <f t="shared" ref="AC48:AC60" ca="1" si="597">(($B$19*$B$22)+(N48*$B$18*M48))/AA48</f>
        <v>59.128485483620999</v>
      </c>
      <c r="AD48" s="59">
        <f t="shared" si="27"/>
        <v>0.16498815587413193</v>
      </c>
      <c r="AE48" s="59">
        <f t="shared" ref="AE48:AE60" si="598">$B$21*AA48*(5.615/1)*(1/86400)</f>
        <v>0.33049129841672109</v>
      </c>
      <c r="AF48" s="59">
        <f t="shared" ref="AF48:AF60" ca="1" si="599">$B$21*($B$16-M48)*U48*(1/86400)</f>
        <v>0.51737738500293773</v>
      </c>
      <c r="AG48" s="59">
        <f t="shared" ref="AG48:AG60" si="600">AE48/AD48</f>
        <v>2.003121355382929</v>
      </c>
      <c r="AH48" s="59">
        <f t="shared" ref="AH48:AH60" ca="1" si="601">AF48/AD48</f>
        <v>3.135845614261187</v>
      </c>
      <c r="AI48" s="59">
        <f t="shared" ref="AI48:AI60" ca="1" si="602">AG48+AH48</f>
        <v>5.138966969644116</v>
      </c>
      <c r="AJ48" s="59">
        <f t="shared" ref="AJ48:AJ60" ca="1" si="603">AE48/(AE48+AF48)</f>
        <v>0.38979066555892833</v>
      </c>
      <c r="AK48" s="59"/>
      <c r="AL48" s="59">
        <f t="shared" ref="AL48:AL60" ca="1" si="604">1.071-((0.2218*((AG48+AH48)^2))/($B$5*0.0833333))</f>
        <v>-11.70903151211663</v>
      </c>
      <c r="AM48" s="59">
        <f t="shared" ref="AM48:AM60" ca="1" si="605">AH48/(AG48+AH48)</f>
        <v>0.61020933444107173</v>
      </c>
      <c r="AN48" s="59">
        <f t="shared" ref="AN48:AN60" ca="1" si="606">AM48-AL48</f>
        <v>12.319240846557701</v>
      </c>
      <c r="AO48" s="59">
        <f t="shared" ref="AO48:AO60" ca="1" si="607">(42.4-(0.047*J48)-(0.267*$B$2))*EXP(-0.0007*I48)</f>
        <v>23.576185744228084</v>
      </c>
      <c r="AP48" s="59">
        <f t="shared" ref="AP48:AP60" ca="1" si="608">1.938*AG48*(AC48/AO48)^0.25</f>
        <v>4.8853067275083069</v>
      </c>
      <c r="AQ48" s="59">
        <f t="shared" ref="AQ48:AQ60" ca="1" si="609">1.938*AH48*(AC48/AO48)^0.25</f>
        <v>7.6478480121085886</v>
      </c>
      <c r="AR48" s="59">
        <f t="shared" ref="AR48:AR60" ca="1" si="610">((120.872*$B$5)/12)*((AC48/AO48)^0.25)</f>
        <v>69.716881793610412</v>
      </c>
      <c r="AS48" s="59">
        <f t="shared" ref="AS48:AS60" ca="1" si="611">0.15726*AB48*(1/(AC48*AO48^3)^0.25)</f>
        <v>0.12721114626258803</v>
      </c>
      <c r="AT48" s="59">
        <f t="shared" ref="AT48:AT60" ca="1" si="612">0.0104*(1.163-EXP(-6.407*AS48))</f>
        <v>7.4919434805149083E-3</v>
      </c>
      <c r="AU48" s="59">
        <f t="shared" ref="AU48:AU60" ca="1" si="613">(AP48*AT48*I48^0.1)/((AQ48^0.575)*AR48*$B$17^0.1)</f>
        <v>2.2740219964580385E-4</v>
      </c>
      <c r="AV48" s="59">
        <f t="shared" ref="AV48:AV60" ca="1" si="614">(0.0745*0.000841+1.0728*(AU48^0.884))/(0.000841+AU48^0.884)</f>
        <v>0.49087100654508886</v>
      </c>
      <c r="AW48" s="59">
        <f t="shared" ref="AW48:AW60" ca="1" si="615">(AQ48*AS48^0.1)/(AR48^2.14)</f>
        <v>7.067218891925334E-4</v>
      </c>
      <c r="AX48" s="59">
        <f t="shared" ref="AX48:AX60" ca="1" si="616">(0.97471888*0.0102865321+1.7467011*(AW48^3.8462632))/(0.0102865321+AW48^3.8462632)</f>
        <v>0.97471888005711071</v>
      </c>
      <c r="AY48" s="59">
        <f t="shared" ref="AY48:AY60" ca="1" si="617">AV48*AX48</f>
        <v>0.47846123775213567</v>
      </c>
      <c r="AZ48" s="59">
        <f t="shared" ref="AZ48:AZ60" ca="1" si="618">(V48*(1-AY48))+(AC48*AY48)</f>
        <v>29.062292853815656</v>
      </c>
      <c r="BA48" s="59">
        <f t="shared" ref="BA48:BA60" ca="1" si="619">(Z48*(1-AJ48))+(AB48*AJ48)</f>
        <v>9.3620008781102602</v>
      </c>
      <c r="BB48" s="59">
        <f t="shared" ref="BB48:BB60" ca="1" si="620">(1488*AZ48*AI48*($B$5/12))/BA48</f>
        <v>10879.812180961484</v>
      </c>
      <c r="BC48">
        <f ca="1">BD48</f>
        <v>3.0391402296138348E-2</v>
      </c>
      <c r="BD48" s="59">
        <f t="shared" ca="1" si="572"/>
        <v>3.0391402296138348E-2</v>
      </c>
      <c r="BE48" s="59">
        <f t="shared" ref="BE48:BE60" ca="1" si="621">((BD48*AZ48*(AI48^2))/(144*2*32.2*($B$5/12)))+((AZ48*SIN(90))/144)</f>
        <v>0.18591558103699332</v>
      </c>
      <c r="BF48" s="59">
        <f t="shared" ref="BF48:BF60" ca="1" si="622">BE48*100</f>
        <v>18.591558103699331</v>
      </c>
      <c r="BG48" s="59">
        <f t="shared" ref="BG48:BG60" ca="1" si="623">G48+BF48</f>
        <v>420.56278512081178</v>
      </c>
      <c r="BH48" s="59">
        <f t="shared" ref="BH48:BH60" ca="1" si="624">ABS(H48-BG48)/H48</f>
        <v>3.1576851252933408E-5</v>
      </c>
      <c r="BI48" t="str">
        <f t="shared" ca="1" si="65"/>
        <v>Listo</v>
      </c>
    </row>
    <row r="49" spans="2:66" x14ac:dyDescent="0.25">
      <c r="D49" t="s">
        <v>109</v>
      </c>
      <c r="F49" s="26">
        <f t="shared" ca="1" si="67"/>
        <v>1787.1585924134699</v>
      </c>
      <c r="G49">
        <v>420.56278512081178</v>
      </c>
      <c r="H49">
        <f>G49+20</f>
        <v>440.56278512081178</v>
      </c>
      <c r="I49" s="59">
        <f t="shared" si="580"/>
        <v>430.56278512081178</v>
      </c>
      <c r="J49">
        <f>K48</f>
        <v>105</v>
      </c>
      <c r="K49">
        <f>(1900+2400)/40</f>
        <v>107.5</v>
      </c>
      <c r="L49" s="59">
        <f t="shared" si="577"/>
        <v>106.25</v>
      </c>
      <c r="M49">
        <f ca="1">GN1</f>
        <v>58.033783257142844</v>
      </c>
      <c r="N49">
        <f ca="1">GN2</f>
        <v>0.705218027866368</v>
      </c>
      <c r="O49" s="59">
        <f t="shared" ca="1" si="584"/>
        <v>0.69876488061423947</v>
      </c>
      <c r="P49" s="59">
        <f t="shared" ca="1" si="585"/>
        <v>669.17125976996988</v>
      </c>
      <c r="Q49" s="59">
        <f t="shared" ca="1" si="586"/>
        <v>388.99518171987989</v>
      </c>
      <c r="R49" s="59">
        <f t="shared" ca="1" si="587"/>
        <v>0.64342689384003038</v>
      </c>
      <c r="S49" s="59">
        <f t="shared" ca="1" si="588"/>
        <v>1.4556735574369233</v>
      </c>
      <c r="T49" s="59">
        <f t="shared" ca="1" si="589"/>
        <v>0.92939764714208439</v>
      </c>
      <c r="U49" s="59">
        <f t="shared" ca="1" si="590"/>
        <v>3.4553121329037532E-2</v>
      </c>
      <c r="V49" s="59">
        <f t="shared" ca="1" si="591"/>
        <v>1.5450308054822246</v>
      </c>
      <c r="W49" s="59">
        <f t="shared" ca="1" si="592"/>
        <v>5.4436426626267673</v>
      </c>
      <c r="X49" s="59">
        <f t="shared" ca="1" si="593"/>
        <v>1.3112714674746464</v>
      </c>
      <c r="Y49" s="59">
        <f t="shared" ca="1" si="594"/>
        <v>113.91677724852309</v>
      </c>
      <c r="Z49" s="60">
        <f t="shared" ca="1" si="595"/>
        <v>1.1562607774719685E-2</v>
      </c>
      <c r="AA49" s="59">
        <f t="shared" si="596"/>
        <v>1.0182709291886918</v>
      </c>
      <c r="AB49" s="59">
        <v>24</v>
      </c>
      <c r="AC49" s="61">
        <f t="shared" ca="1" si="597"/>
        <v>59.194753730962823</v>
      </c>
      <c r="AD49" s="59">
        <f t="shared" si="27"/>
        <v>0.16498815587413193</v>
      </c>
      <c r="AE49" s="59">
        <f t="shared" si="598"/>
        <v>0.3308791242705153</v>
      </c>
      <c r="AF49" s="59">
        <f t="shared" ca="1" si="599"/>
        <v>0.49025483588601554</v>
      </c>
      <c r="AG49" s="59">
        <f t="shared" si="600"/>
        <v>2.0054719838370714</v>
      </c>
      <c r="AH49" s="59">
        <f t="shared" ca="1" si="601"/>
        <v>2.971454728301993</v>
      </c>
      <c r="AI49" s="59">
        <f t="shared" ca="1" si="602"/>
        <v>4.9769267121390648</v>
      </c>
      <c r="AJ49" s="59">
        <f t="shared" ca="1" si="603"/>
        <v>0.40295389099172146</v>
      </c>
      <c r="AK49" s="59"/>
      <c r="AL49" s="59">
        <f t="shared" ca="1" si="604"/>
        <v>-10.915786311784663</v>
      </c>
      <c r="AM49" s="59">
        <f t="shared" ca="1" si="605"/>
        <v>0.59704610900827848</v>
      </c>
      <c r="AN49" s="59">
        <f t="shared" ca="1" si="606"/>
        <v>11.512832420792941</v>
      </c>
      <c r="AO49" s="59">
        <f t="shared" si="607"/>
        <v>23.173065335632856</v>
      </c>
      <c r="AP49" s="59">
        <f t="shared" ca="1" si="608"/>
        <v>4.9135491545368168</v>
      </c>
      <c r="AQ49" s="59">
        <f t="shared" ca="1" si="609"/>
        <v>7.2802756586296198</v>
      </c>
      <c r="AR49" s="59">
        <f t="shared" ca="1" si="610"/>
        <v>70.037733702145715</v>
      </c>
      <c r="AS49" s="59">
        <f t="shared" ca="1" si="611"/>
        <v>0.12883121242372528</v>
      </c>
      <c r="AT49" s="59">
        <f t="shared" ca="1" si="612"/>
        <v>7.539477075814708E-3</v>
      </c>
      <c r="AU49" s="59">
        <f t="shared" ca="1" si="613"/>
        <v>2.3677800789562343E-4</v>
      </c>
      <c r="AV49" s="59">
        <f t="shared" ca="1" si="614"/>
        <v>0.49956450615674264</v>
      </c>
      <c r="AW49" s="59">
        <f t="shared" ca="1" si="615"/>
        <v>6.6702063873955283E-4</v>
      </c>
      <c r="AX49" s="59">
        <f t="shared" ca="1" si="616"/>
        <v>0.97471888004572371</v>
      </c>
      <c r="AY49" s="59">
        <f t="shared" ca="1" si="617"/>
        <v>0.48693495595169523</v>
      </c>
      <c r="AZ49" s="59">
        <f t="shared" ca="1" si="618"/>
        <v>29.616696098828555</v>
      </c>
      <c r="BA49" s="59">
        <f t="shared" ca="1" si="619"/>
        <v>9.6777967937832017</v>
      </c>
      <c r="BB49" s="59">
        <f t="shared" ca="1" si="620"/>
        <v>10387.37308013734</v>
      </c>
      <c r="BC49">
        <f t="shared" ref="BC49:BC71" ca="1" si="625">BD49</f>
        <v>3.0757924193316931E-2</v>
      </c>
      <c r="BD49" s="59">
        <f t="shared" ca="1" si="572"/>
        <v>3.0757924193316931E-2</v>
      </c>
      <c r="BE49" s="59">
        <f t="shared" ca="1" si="621"/>
        <v>0.18917831262476589</v>
      </c>
      <c r="BF49" s="59">
        <f t="shared" ca="1" si="622"/>
        <v>18.917831262476589</v>
      </c>
      <c r="BG49" s="59">
        <f t="shared" ca="1" si="623"/>
        <v>439.48061638328835</v>
      </c>
      <c r="BH49" s="59">
        <f t="shared" ca="1" si="624"/>
        <v>2.456332613810488E-3</v>
      </c>
      <c r="BI49" t="str">
        <f t="shared" ca="1" si="65"/>
        <v>Repetir</v>
      </c>
      <c r="BM49" s="1" t="s">
        <v>23</v>
      </c>
      <c r="BN49" s="1" t="s">
        <v>24</v>
      </c>
    </row>
    <row r="50" spans="2:66" x14ac:dyDescent="0.25">
      <c r="F50" s="26">
        <f t="shared" si="67"/>
        <v>1787.1933412660219</v>
      </c>
      <c r="G50">
        <v>420.56278512081178</v>
      </c>
      <c r="H50">
        <f ca="1">BG49</f>
        <v>439.48061638328835</v>
      </c>
      <c r="I50" s="59">
        <f t="shared" ca="1" si="580"/>
        <v>430.02170075205004</v>
      </c>
      <c r="J50">
        <v>105</v>
      </c>
      <c r="K50">
        <f>(1900+2400)/40</f>
        <v>107.5</v>
      </c>
      <c r="L50" s="59">
        <f>(J50+K50)/2</f>
        <v>106.25</v>
      </c>
      <c r="M50">
        <v>60.735242850335659</v>
      </c>
      <c r="N50">
        <v>0.70499542813618088</v>
      </c>
      <c r="O50" s="59">
        <f t="shared" si="584"/>
        <v>0.69874874174714563</v>
      </c>
      <c r="P50" s="59">
        <f t="shared" si="585"/>
        <v>669.17186347271138</v>
      </c>
      <c r="Q50" s="59">
        <f t="shared" si="586"/>
        <v>388.99021851665708</v>
      </c>
      <c r="R50" s="59">
        <f t="shared" ca="1" si="587"/>
        <v>0.64261772531861117</v>
      </c>
      <c r="S50" s="59">
        <f t="shared" si="588"/>
        <v>1.4556921306640835</v>
      </c>
      <c r="T50" s="59">
        <f t="shared" ca="1" si="589"/>
        <v>0.92948019327132125</v>
      </c>
      <c r="U50" s="59">
        <f t="shared" ca="1" si="590"/>
        <v>3.4599671321754781E-2</v>
      </c>
      <c r="V50" s="59">
        <f t="shared" ca="1" si="591"/>
        <v>1.5429165026754492</v>
      </c>
      <c r="W50" s="59">
        <f t="shared" si="592"/>
        <v>5.443637988810857</v>
      </c>
      <c r="X50" s="59">
        <f t="shared" si="593"/>
        <v>1.3112724022378284</v>
      </c>
      <c r="Y50" s="59">
        <f t="shared" si="594"/>
        <v>113.91754092221944</v>
      </c>
      <c r="Z50" s="60">
        <f t="shared" si="595"/>
        <v>1.1562679200330961E-2</v>
      </c>
      <c r="AA50" s="59">
        <f t="shared" si="596"/>
        <v>1.0182709291886918</v>
      </c>
      <c r="AB50" s="42">
        <v>24</v>
      </c>
      <c r="AC50" s="61">
        <f t="shared" si="597"/>
        <v>59.336678743657046</v>
      </c>
      <c r="AD50" s="59">
        <f t="shared" si="27"/>
        <v>0.16498815587413193</v>
      </c>
      <c r="AE50" s="59">
        <f t="shared" si="598"/>
        <v>0.3308791242705153</v>
      </c>
      <c r="AF50" s="59">
        <f t="shared" ca="1" si="599"/>
        <v>0.48550618641207743</v>
      </c>
      <c r="AG50" s="59">
        <f t="shared" si="600"/>
        <v>2.0054719838370714</v>
      </c>
      <c r="AH50" s="59">
        <f t="shared" ca="1" si="601"/>
        <v>2.9426729684915442</v>
      </c>
      <c r="AI50" s="59">
        <f t="shared" ca="1" si="602"/>
        <v>4.9481449523286152</v>
      </c>
      <c r="AJ50" s="59">
        <f t="shared" ca="1" si="603"/>
        <v>0.40529774352978254</v>
      </c>
      <c r="AK50" s="59"/>
      <c r="AL50" s="59">
        <f t="shared" ca="1" si="604"/>
        <v>-10.777547093922388</v>
      </c>
      <c r="AM50" s="59">
        <f t="shared" ca="1" si="605"/>
        <v>0.59470225647021746</v>
      </c>
      <c r="AN50" s="59">
        <f t="shared" ca="1" si="606"/>
        <v>11.372249350392606</v>
      </c>
      <c r="AO50" s="59">
        <f t="shared" ca="1" si="607"/>
        <v>23.181844006429035</v>
      </c>
      <c r="AP50" s="59">
        <f t="shared" ca="1" si="608"/>
        <v>4.9160261653732977</v>
      </c>
      <c r="AQ50" s="59">
        <f t="shared" ca="1" si="609"/>
        <v>7.2133928700229664</v>
      </c>
      <c r="AR50" s="59">
        <f t="shared" ca="1" si="610"/>
        <v>70.073041016652297</v>
      </c>
      <c r="AS50" s="59">
        <f t="shared" ca="1" si="611"/>
        <v>0.12871753678833026</v>
      </c>
      <c r="AT50" s="59">
        <f t="shared" ca="1" si="612"/>
        <v>7.5361578440396619E-3</v>
      </c>
      <c r="AU50" s="59">
        <f t="shared" ca="1" si="613"/>
        <v>2.3790318056502501E-4</v>
      </c>
      <c r="AV50" s="59">
        <f t="shared" ca="1" si="614"/>
        <v>0.50058770850045231</v>
      </c>
      <c r="AW50" s="59">
        <f t="shared" ca="1" si="615"/>
        <v>6.6012213018811015E-4</v>
      </c>
      <c r="AX50" s="59">
        <f t="shared" ca="1" si="616"/>
        <v>0.97471888004393137</v>
      </c>
      <c r="AY50" s="59">
        <f t="shared" ca="1" si="617"/>
        <v>0.48793229059331888</v>
      </c>
      <c r="AZ50" s="59">
        <f t="shared" ca="1" si="618"/>
        <v>29.742359294923261</v>
      </c>
      <c r="BA50" s="59">
        <f t="shared" ca="1" si="619"/>
        <v>9.7340221961260589</v>
      </c>
      <c r="BB50" s="59">
        <f t="shared" ca="1" si="620"/>
        <v>10311.215692576574</v>
      </c>
      <c r="BC50">
        <f t="shared" ca="1" si="625"/>
        <v>3.0816763689429538E-2</v>
      </c>
      <c r="BD50" s="59">
        <f t="shared" ca="1" si="572"/>
        <v>3.0816763689429538E-2</v>
      </c>
      <c r="BE50" s="59">
        <f t="shared" ca="1" si="621"/>
        <v>0.18992959146263139</v>
      </c>
      <c r="BF50" s="59">
        <f t="shared" ca="1" si="622"/>
        <v>18.992959146263139</v>
      </c>
      <c r="BG50" s="59">
        <f t="shared" ca="1" si="623"/>
        <v>439.55574426707494</v>
      </c>
      <c r="BH50" s="59">
        <f t="shared" ca="1" si="624"/>
        <v>1.7094697919753198E-4</v>
      </c>
      <c r="BI50" t="str">
        <f t="shared" ca="1" si="65"/>
        <v>Listo</v>
      </c>
      <c r="BM50">
        <f ca="1">B8*(((I71/18.2)+1.4)*10^((0.0125*B2)-(0.00091*(L71))))^(1/0.83)</f>
        <v>90.58277986984784</v>
      </c>
      <c r="BN50">
        <f ca="1">0.25+(0.02*$B$2)+((BM50*10^-6)*(0.0874-(3.5864*$B$2)))</f>
        <v>0.70253599705528047</v>
      </c>
    </row>
    <row r="51" spans="2:66" x14ac:dyDescent="0.25">
      <c r="D51">
        <v>19</v>
      </c>
      <c r="F51" s="26">
        <f t="shared" si="67"/>
        <v>1796.7117271888189</v>
      </c>
      <c r="G51">
        <f t="shared" ref="G51:G71" ca="1" si="626">BG50</f>
        <v>439.55574426707494</v>
      </c>
      <c r="H51">
        <f t="shared" ref="H51" ca="1" si="627">G51+20</f>
        <v>459.55574426707494</v>
      </c>
      <c r="I51" s="59">
        <f t="shared" ref="I51:I71" ca="1" si="628">(G51+H51)/2</f>
        <v>449.55574426707494</v>
      </c>
      <c r="J51">
        <f t="shared" ref="J51:J71" si="629">K50</f>
        <v>107.5</v>
      </c>
      <c r="K51">
        <f>(2000+2400)/40</f>
        <v>110</v>
      </c>
      <c r="L51" s="59">
        <f t="shared" ref="L51:L71" si="630">(J51+K51)/2</f>
        <v>108.75</v>
      </c>
      <c r="M51">
        <v>60.556687778916434</v>
      </c>
      <c r="N51">
        <v>0.7050101410383548</v>
      </c>
      <c r="O51" s="59">
        <f t="shared" si="584"/>
        <v>0.69874966657652049</v>
      </c>
      <c r="P51" s="59">
        <f t="shared" si="585"/>
        <v>669.17182887836782</v>
      </c>
      <c r="Q51" s="59">
        <f t="shared" si="586"/>
        <v>388.99050293060918</v>
      </c>
      <c r="R51" s="59">
        <f t="shared" ca="1" si="587"/>
        <v>0.6718091301311917</v>
      </c>
      <c r="S51" s="59">
        <f t="shared" si="588"/>
        <v>1.4621179584465525</v>
      </c>
      <c r="T51" s="59">
        <f t="shared" ca="1" si="589"/>
        <v>0.92770285953743858</v>
      </c>
      <c r="U51" s="59">
        <f t="shared" ca="1" si="590"/>
        <v>3.3178805362209206E-2</v>
      </c>
      <c r="V51" s="59">
        <f t="shared" ca="1" si="591"/>
        <v>1.6089932697592331</v>
      </c>
      <c r="W51" s="59">
        <f t="shared" si="592"/>
        <v>5.4359842770669342</v>
      </c>
      <c r="X51" s="59">
        <f t="shared" si="593"/>
        <v>1.3128031445866131</v>
      </c>
      <c r="Y51" s="59">
        <f t="shared" si="594"/>
        <v>114.42608440248803</v>
      </c>
      <c r="Z51" s="60">
        <f t="shared" si="595"/>
        <v>1.1612867942631187E-2</v>
      </c>
      <c r="AA51" s="59">
        <f t="shared" si="596"/>
        <v>1.0194700823129645</v>
      </c>
      <c r="AB51" s="59">
        <v>24</v>
      </c>
      <c r="AC51" s="61">
        <f t="shared" si="597"/>
        <v>59.257517063200162</v>
      </c>
      <c r="AD51" s="59">
        <f t="shared" si="27"/>
        <v>0.16498815587413193</v>
      </c>
      <c r="AE51" s="59">
        <f t="shared" si="598"/>
        <v>0.33126877964046852</v>
      </c>
      <c r="AF51" s="59">
        <f t="shared" ca="1" si="599"/>
        <v>0.46591128568742546</v>
      </c>
      <c r="AG51" s="59">
        <f t="shared" si="600"/>
        <v>2.0078337010639156</v>
      </c>
      <c r="AH51" s="59">
        <f t="shared" ca="1" si="601"/>
        <v>2.8239074691086627</v>
      </c>
      <c r="AI51" s="59">
        <f t="shared" ca="1" si="602"/>
        <v>4.8317411701725783</v>
      </c>
      <c r="AJ51" s="59">
        <f t="shared" ca="1" si="603"/>
        <v>0.41555075703531541</v>
      </c>
      <c r="AK51" s="59"/>
      <c r="AL51" s="59">
        <f t="shared" ca="1" si="604"/>
        <v>-10.226636452311867</v>
      </c>
      <c r="AM51" s="59">
        <f t="shared" ca="1" si="605"/>
        <v>0.58444924296468459</v>
      </c>
      <c r="AN51" s="59">
        <f t="shared" ca="1" si="606"/>
        <v>10.811085695276551</v>
      </c>
      <c r="AO51" s="59">
        <f t="shared" ca="1" si="607"/>
        <v>22.781239890925313</v>
      </c>
      <c r="AP51" s="59">
        <f t="shared" ca="1" si="608"/>
        <v>4.9416619802386013</v>
      </c>
      <c r="AQ51" s="59">
        <f t="shared" ca="1" si="609"/>
        <v>6.9501752901207379</v>
      </c>
      <c r="AR51" s="59">
        <f t="shared" ca="1" si="610"/>
        <v>70.3556006119491</v>
      </c>
      <c r="AS51" s="59">
        <f t="shared" ca="1" si="611"/>
        <v>0.13045497097972464</v>
      </c>
      <c r="AT51" s="59">
        <f t="shared" ca="1" si="612"/>
        <v>7.5866264967734643E-3</v>
      </c>
      <c r="AU51" s="59">
        <f t="shared" ca="1" si="613"/>
        <v>2.4604929491378732E-4</v>
      </c>
      <c r="AV51" s="59">
        <f t="shared" ca="1" si="614"/>
        <v>0.50787189544629929</v>
      </c>
      <c r="AW51" s="59">
        <f t="shared" ca="1" si="615"/>
        <v>6.3142628548576918E-4</v>
      </c>
      <c r="AX51" s="59">
        <f t="shared" ca="1" si="616"/>
        <v>0.97471888003702856</v>
      </c>
      <c r="AY51" s="59">
        <f t="shared" ca="1" si="617"/>
        <v>0.4950323251316997</v>
      </c>
      <c r="AZ51" s="59">
        <f t="shared" ca="1" si="618"/>
        <v>30.146876043636407</v>
      </c>
      <c r="BA51" s="59">
        <f t="shared" ca="1" si="619"/>
        <v>9.9800053007252902</v>
      </c>
      <c r="BB51" s="59">
        <f t="shared" ca="1" si="620"/>
        <v>9954.0445381217705</v>
      </c>
      <c r="BC51">
        <f t="shared" ca="1" si="625"/>
        <v>3.1100991347847579E-2</v>
      </c>
      <c r="BD51" s="59">
        <f t="shared" ref="BD51:BD60" ca="1" si="631">(-2*LOG(($B$7/(3.71*$B$5))+(2.514/(BB51*SQRT(BC51)))))^(-2)</f>
        <v>3.1100991347847579E-2</v>
      </c>
      <c r="BE51" s="59">
        <f t="shared" ca="1" si="621"/>
        <v>0.19231100088726941</v>
      </c>
      <c r="BF51" s="59">
        <f t="shared" ca="1" si="622"/>
        <v>19.23110008872694</v>
      </c>
      <c r="BG51" s="59">
        <f t="shared" ca="1" si="623"/>
        <v>458.78684435580186</v>
      </c>
      <c r="BH51" s="59">
        <f t="shared" ca="1" si="624"/>
        <v>1.6731374177454043E-3</v>
      </c>
      <c r="BI51" t="str">
        <f t="shared" ca="1" si="65"/>
        <v>Repetir</v>
      </c>
      <c r="BM51">
        <f ca="1">BN50*((($I$71/18.2)+1.4)*10^((0.0125*$B$2)-(0.00091*($L$71))))^(1/0.83)</f>
        <v>90.910947959860778</v>
      </c>
      <c r="BN51">
        <f ca="1">0.25+(0.02*$B$2)+((BM51*10^-6)*(0.0874-(3.5864*$B$2)))</f>
        <v>0.70250895607029706</v>
      </c>
    </row>
    <row r="52" spans="2:66" x14ac:dyDescent="0.25">
      <c r="F52" s="26">
        <f t="shared" si="67"/>
        <v>1796.7117271888189</v>
      </c>
      <c r="G52">
        <v>439.55574426707494</v>
      </c>
      <c r="H52">
        <f ca="1">BG51</f>
        <v>458.78684435580186</v>
      </c>
      <c r="I52" s="59">
        <f t="shared" ca="1" si="628"/>
        <v>449.17129431143837</v>
      </c>
      <c r="J52">
        <v>107.5</v>
      </c>
      <c r="K52">
        <v>110</v>
      </c>
      <c r="L52" s="59">
        <f t="shared" si="630"/>
        <v>108.75</v>
      </c>
      <c r="M52">
        <v>60.556687778916434</v>
      </c>
      <c r="N52">
        <v>0.7050101410383548</v>
      </c>
      <c r="O52" s="59">
        <f t="shared" si="584"/>
        <v>0.69874966657652049</v>
      </c>
      <c r="P52" s="59">
        <f t="shared" si="585"/>
        <v>669.17182887836782</v>
      </c>
      <c r="Q52" s="59">
        <f t="shared" si="586"/>
        <v>388.99050293060918</v>
      </c>
      <c r="R52" s="59">
        <f t="shared" ca="1" si="587"/>
        <v>0.67123461408158303</v>
      </c>
      <c r="S52" s="59">
        <f t="shared" si="588"/>
        <v>1.4621179584465525</v>
      </c>
      <c r="T52" s="59">
        <f t="shared" ca="1" si="589"/>
        <v>0.92775790567933292</v>
      </c>
      <c r="U52" s="59">
        <f t="shared" ca="1" si="590"/>
        <v>3.3209173796640519E-2</v>
      </c>
      <c r="V52" s="59">
        <f t="shared" ca="1" si="591"/>
        <v>1.6075219110644241</v>
      </c>
      <c r="W52" s="59">
        <f t="shared" si="592"/>
        <v>5.4359842770669342</v>
      </c>
      <c r="X52" s="59">
        <f t="shared" si="593"/>
        <v>1.3128031445866131</v>
      </c>
      <c r="Y52" s="59">
        <f t="shared" si="594"/>
        <v>114.42608440248803</v>
      </c>
      <c r="Z52" s="60">
        <f t="shared" si="595"/>
        <v>1.1612867942631187E-2</v>
      </c>
      <c r="AA52" s="59">
        <f t="shared" si="596"/>
        <v>1.0194700823129645</v>
      </c>
      <c r="AB52" s="42">
        <v>24</v>
      </c>
      <c r="AC52" s="61">
        <f t="shared" si="597"/>
        <v>59.257517063200162</v>
      </c>
      <c r="AD52" s="59">
        <f t="shared" si="27"/>
        <v>0.16498815587413193</v>
      </c>
      <c r="AE52" s="59">
        <f t="shared" si="598"/>
        <v>0.33126877964046852</v>
      </c>
      <c r="AF52" s="59">
        <f t="shared" ca="1" si="599"/>
        <v>0.46633773251622918</v>
      </c>
      <c r="AG52" s="59">
        <f t="shared" si="600"/>
        <v>2.0078337010639156</v>
      </c>
      <c r="AH52" s="59">
        <f t="shared" ca="1" si="601"/>
        <v>2.826492180881119</v>
      </c>
      <c r="AI52" s="59">
        <f t="shared" ca="1" si="602"/>
        <v>4.8343258819450341</v>
      </c>
      <c r="AJ52" s="59">
        <f t="shared" ca="1" si="603"/>
        <v>0.41532857943289642</v>
      </c>
      <c r="AK52" s="59"/>
      <c r="AL52" s="59">
        <f t="shared" ca="1" si="604"/>
        <v>-10.238726894824689</v>
      </c>
      <c r="AM52" s="59">
        <f t="shared" ca="1" si="605"/>
        <v>0.58467142056710353</v>
      </c>
      <c r="AN52" s="59">
        <f t="shared" ca="1" si="606"/>
        <v>10.823398315391792</v>
      </c>
      <c r="AO52" s="59">
        <f t="shared" ca="1" si="607"/>
        <v>22.787371488606453</v>
      </c>
      <c r="AP52" s="59">
        <f t="shared" ca="1" si="608"/>
        <v>4.941329522619804</v>
      </c>
      <c r="AQ52" s="59">
        <f t="shared" ca="1" si="609"/>
        <v>6.9560687478456202</v>
      </c>
      <c r="AR52" s="59">
        <f t="shared" ca="1" si="610"/>
        <v>70.350867334856886</v>
      </c>
      <c r="AS52" s="59">
        <f t="shared" ca="1" si="611"/>
        <v>0.13042864309767624</v>
      </c>
      <c r="AT52" s="59">
        <f t="shared" ca="1" si="612"/>
        <v>7.5858659140933858E-3</v>
      </c>
      <c r="AU52" s="59">
        <f t="shared" ca="1" si="613"/>
        <v>2.4588371475299086E-4</v>
      </c>
      <c r="AV52" s="59">
        <f t="shared" ca="1" si="614"/>
        <v>0.50772596012339255</v>
      </c>
      <c r="AW52" s="59">
        <f t="shared" ca="1" si="615"/>
        <v>6.3203994575162224E-4</v>
      </c>
      <c r="AX52" s="59">
        <f t="shared" ca="1" si="616"/>
        <v>0.97471888003716711</v>
      </c>
      <c r="AY52" s="59">
        <f t="shared" ca="1" si="617"/>
        <v>0.49489007921726857</v>
      </c>
      <c r="AZ52" s="59">
        <f t="shared" ca="1" si="618"/>
        <v>30.137932578780028</v>
      </c>
      <c r="BA52" s="59">
        <f t="shared" ca="1" si="619"/>
        <v>9.9746756183863905</v>
      </c>
      <c r="BB52" s="59">
        <f t="shared" ca="1" si="620"/>
        <v>9961.7347443045437</v>
      </c>
      <c r="BC52">
        <f t="shared" ca="1" si="625"/>
        <v>3.1094723052468996E-2</v>
      </c>
      <c r="BD52" s="59">
        <f t="shared" ca="1" si="631"/>
        <v>3.1094723052468996E-2</v>
      </c>
      <c r="BE52" s="59">
        <f t="shared" ca="1" si="621"/>
        <v>0.19225842017624267</v>
      </c>
      <c r="BF52" s="59">
        <f t="shared" ca="1" si="622"/>
        <v>19.225842017624267</v>
      </c>
      <c r="BG52" s="59">
        <f t="shared" ca="1" si="623"/>
        <v>458.78158628469919</v>
      </c>
      <c r="BH52" s="59">
        <f t="shared" ca="1" si="624"/>
        <v>1.146081490208497E-5</v>
      </c>
      <c r="BI52" t="str">
        <f t="shared" ca="1" si="65"/>
        <v>Listo</v>
      </c>
      <c r="BM52">
        <f t="shared" ref="BM52:BM59" ca="1" si="632">BN51*((($I$71/18.2)+1.4)*10^((0.0125*$B$2)-(0.00091*($L$71))))^(1/0.83)</f>
        <v>90.907448749017618</v>
      </c>
      <c r="BN52">
        <f t="shared" ref="BN52:BN59" ca="1" si="633">0.25+(0.02*$B$2)+((BM52*10^-6)*(0.0874-(3.5864*$B$2)))</f>
        <v>0.70250924440457063</v>
      </c>
    </row>
    <row r="53" spans="2:66" x14ac:dyDescent="0.25">
      <c r="D53">
        <v>20</v>
      </c>
      <c r="E53">
        <v>2100</v>
      </c>
      <c r="F53" s="26">
        <f t="shared" si="67"/>
        <v>1806.3061219511144</v>
      </c>
      <c r="G53">
        <f t="shared" ca="1" si="626"/>
        <v>458.78158628469919</v>
      </c>
      <c r="H53">
        <f ca="1">G53+$B$61</f>
        <v>478.00742830232343</v>
      </c>
      <c r="I53" s="59">
        <f t="shared" ca="1" si="628"/>
        <v>468.39450729351131</v>
      </c>
      <c r="J53">
        <f t="shared" si="629"/>
        <v>110</v>
      </c>
      <c r="K53">
        <f>(E53+2400)/40</f>
        <v>112.5</v>
      </c>
      <c r="L53" s="59">
        <f t="shared" si="630"/>
        <v>111.25</v>
      </c>
      <c r="M53">
        <v>63.044129581879062</v>
      </c>
      <c r="N53">
        <v>0.70480517633127904</v>
      </c>
      <c r="O53" s="59">
        <f t="shared" si="584"/>
        <v>0.69873862943654097</v>
      </c>
      <c r="P53" s="59">
        <f t="shared" si="585"/>
        <v>669.17224173154102</v>
      </c>
      <c r="Q53" s="59">
        <f t="shared" si="586"/>
        <v>388.98710866354008</v>
      </c>
      <c r="R53" s="59">
        <f t="shared" ca="1" si="587"/>
        <v>0.69996105349722826</v>
      </c>
      <c r="S53" s="59">
        <f t="shared" si="588"/>
        <v>1.4685576649639327</v>
      </c>
      <c r="T53" s="59">
        <f t="shared" ca="1" si="589"/>
        <v>0.92612374628847816</v>
      </c>
      <c r="U53" s="59">
        <f t="shared" ca="1" si="590"/>
        <v>3.1929890594734042E-2</v>
      </c>
      <c r="V53" s="59">
        <f t="shared" ca="1" si="591"/>
        <v>1.6719014783519455</v>
      </c>
      <c r="W53" s="59">
        <f t="shared" si="592"/>
        <v>5.4283940943933562</v>
      </c>
      <c r="X53" s="59">
        <f t="shared" si="593"/>
        <v>1.3143211811213287</v>
      </c>
      <c r="Y53" s="59">
        <f t="shared" si="594"/>
        <v>114.93466730186246</v>
      </c>
      <c r="Z53" s="60">
        <f t="shared" si="595"/>
        <v>1.1663067600242367E-2</v>
      </c>
      <c r="AA53" s="59">
        <f t="shared" si="596"/>
        <v>1.0206747619178898</v>
      </c>
      <c r="AB53" s="59">
        <v>24</v>
      </c>
      <c r="AC53" s="61">
        <f t="shared" si="597"/>
        <v>59.317876122214017</v>
      </c>
      <c r="AD53" s="59">
        <f t="shared" si="27"/>
        <v>0.16498815587413193</v>
      </c>
      <c r="AE53" s="59">
        <f t="shared" si="598"/>
        <v>0.33166023079681428</v>
      </c>
      <c r="AF53" s="59">
        <f t="shared" ca="1" si="599"/>
        <v>0.44377719716664787</v>
      </c>
      <c r="AG53" s="59">
        <f t="shared" si="600"/>
        <v>2.01020630262596</v>
      </c>
      <c r="AH53" s="59">
        <f t="shared" ca="1" si="601"/>
        <v>2.6897518480369085</v>
      </c>
      <c r="AI53" s="59">
        <f t="shared" ca="1" si="602"/>
        <v>4.6999581506628685</v>
      </c>
      <c r="AJ53" s="59">
        <f t="shared" ca="1" si="603"/>
        <v>0.42770727699829547</v>
      </c>
      <c r="AK53" s="59"/>
      <c r="AL53" s="59">
        <f t="shared" ca="1" si="604"/>
        <v>-9.6187673621654497</v>
      </c>
      <c r="AM53" s="59">
        <f t="shared" ca="1" si="605"/>
        <v>0.57229272300170453</v>
      </c>
      <c r="AN53" s="59">
        <f t="shared" ca="1" si="606"/>
        <v>10.191060085167154</v>
      </c>
      <c r="AO53" s="59">
        <f t="shared" ca="1" si="607"/>
        <v>22.398139643100858</v>
      </c>
      <c r="AP53" s="59">
        <f t="shared" ca="1" si="608"/>
        <v>4.9697874404673446</v>
      </c>
      <c r="AQ53" s="59">
        <f t="shared" ca="1" si="609"/>
        <v>6.6498124769012588</v>
      </c>
      <c r="AR53" s="59">
        <f t="shared" ca="1" si="610"/>
        <v>70.672517625892382</v>
      </c>
      <c r="AS53" s="59">
        <f t="shared" ca="1" si="611"/>
        <v>0.13209128160013067</v>
      </c>
      <c r="AT53" s="59">
        <f t="shared" ca="1" si="612"/>
        <v>7.6336467624890996E-3</v>
      </c>
      <c r="AU53" s="59">
        <f t="shared" ca="1" si="613"/>
        <v>2.552897351578123E-4</v>
      </c>
      <c r="AV53" s="59">
        <f t="shared" ca="1" si="614"/>
        <v>0.51588093674560231</v>
      </c>
      <c r="AW53" s="59">
        <f t="shared" ca="1" si="615"/>
        <v>5.9910177929873849E-4</v>
      </c>
      <c r="AX53" s="59">
        <f t="shared" ca="1" si="616"/>
        <v>0.97471888003025209</v>
      </c>
      <c r="AY53" s="59">
        <f t="shared" ca="1" si="617"/>
        <v>0.50283888889363082</v>
      </c>
      <c r="AZ53" s="59">
        <f t="shared" ca="1" si="618"/>
        <v>30.658539317461965</v>
      </c>
      <c r="BA53" s="59">
        <f t="shared" ca="1" si="619"/>
        <v>10.271649336674587</v>
      </c>
      <c r="BB53" s="59">
        <f t="shared" ca="1" si="620"/>
        <v>9567.3054710253764</v>
      </c>
      <c r="BC53">
        <f t="shared" ca="1" si="625"/>
        <v>3.1425182051254275E-2</v>
      </c>
      <c r="BD53" s="59">
        <f t="shared" ca="1" si="631"/>
        <v>3.1425182051254275E-2</v>
      </c>
      <c r="BE53" s="59">
        <f t="shared" ca="1" si="621"/>
        <v>0.19534483481123296</v>
      </c>
      <c r="BF53" s="59">
        <f t="shared" ca="1" si="622"/>
        <v>19.534483481123296</v>
      </c>
      <c r="BG53" s="59">
        <f t="shared" ca="1" si="623"/>
        <v>478.31606976582248</v>
      </c>
      <c r="BH53" s="59">
        <f t="shared" ca="1" si="624"/>
        <v>6.4568340411613452E-4</v>
      </c>
      <c r="BI53" t="str">
        <f t="shared" ca="1" si="65"/>
        <v>Listo</v>
      </c>
      <c r="BM53">
        <f t="shared" ca="1" si="632"/>
        <v>90.907486060617657</v>
      </c>
      <c r="BN53">
        <f t="shared" ca="1" si="633"/>
        <v>0.70250924133010229</v>
      </c>
    </row>
    <row r="54" spans="2:66" x14ac:dyDescent="0.25">
      <c r="D54">
        <v>21</v>
      </c>
      <c r="E54">
        <v>2200</v>
      </c>
      <c r="F54" s="26">
        <f t="shared" si="67"/>
        <v>1815.9425527296269</v>
      </c>
      <c r="G54">
        <f t="shared" ca="1" si="626"/>
        <v>478.31606976582248</v>
      </c>
      <c r="H54">
        <f ca="1">G54+$B$61</f>
        <v>497.54191178344672</v>
      </c>
      <c r="I54" s="59">
        <f t="shared" ca="1" si="628"/>
        <v>487.9289907746346</v>
      </c>
      <c r="J54">
        <f t="shared" si="629"/>
        <v>112.5</v>
      </c>
      <c r="K54">
        <f>(E54+2400)/40</f>
        <v>115</v>
      </c>
      <c r="L54" s="59">
        <f t="shared" si="630"/>
        <v>113.75</v>
      </c>
      <c r="M54">
        <v>65.625110055778549</v>
      </c>
      <c r="N54">
        <v>0.70459250405642582</v>
      </c>
      <c r="O54" s="59">
        <f t="shared" si="584"/>
        <v>0.69873146990027302</v>
      </c>
      <c r="P54" s="59">
        <f t="shared" si="585"/>
        <v>669.1725095349168</v>
      </c>
      <c r="Q54" s="59">
        <f t="shared" si="586"/>
        <v>388.98490687972628</v>
      </c>
      <c r="R54" s="59">
        <f t="shared" ca="1" si="587"/>
        <v>0.72915277274876589</v>
      </c>
      <c r="S54" s="59">
        <f t="shared" si="588"/>
        <v>1.4749929620724407</v>
      </c>
      <c r="T54" s="59">
        <f t="shared" ca="1" si="589"/>
        <v>0.92454046308805526</v>
      </c>
      <c r="U54" s="59">
        <f t="shared" ca="1" si="590"/>
        <v>3.07330731625792E-2</v>
      </c>
      <c r="V54" s="59">
        <f t="shared" ca="1" si="591"/>
        <v>1.7369914169657614</v>
      </c>
      <c r="W54" s="59">
        <f t="shared" si="592"/>
        <v>5.4208711522016371</v>
      </c>
      <c r="X54" s="59">
        <f t="shared" si="593"/>
        <v>1.3158257695596725</v>
      </c>
      <c r="Y54" s="59">
        <f t="shared" si="594"/>
        <v>115.44253876823367</v>
      </c>
      <c r="Z54" s="60">
        <f t="shared" si="595"/>
        <v>1.1713207710185445E-2</v>
      </c>
      <c r="AA54" s="59">
        <f t="shared" si="596"/>
        <v>1.0218848684104123</v>
      </c>
      <c r="AB54" s="42">
        <v>24</v>
      </c>
      <c r="AC54" s="61">
        <f t="shared" si="597"/>
        <v>59.382590965566941</v>
      </c>
      <c r="AD54" s="59">
        <f t="shared" si="27"/>
        <v>0.16498815587413193</v>
      </c>
      <c r="AE54" s="59">
        <f t="shared" si="598"/>
        <v>0.3320534453775732</v>
      </c>
      <c r="AF54" s="59">
        <f t="shared" ca="1" si="599"/>
        <v>0.42255288223258602</v>
      </c>
      <c r="AG54" s="59">
        <f t="shared" si="600"/>
        <v>2.0125895923759156</v>
      </c>
      <c r="AH54" s="59">
        <f t="shared" ca="1" si="601"/>
        <v>2.5611104021003062</v>
      </c>
      <c r="AI54" s="59">
        <f t="shared" ca="1" si="602"/>
        <v>4.5736999944762218</v>
      </c>
      <c r="AJ54" s="59">
        <f t="shared" ca="1" si="603"/>
        <v>0.44003533130869388</v>
      </c>
      <c r="AK54" s="59"/>
      <c r="AL54" s="59">
        <f t="shared" ca="1" si="604"/>
        <v>-9.0521488004628168</v>
      </c>
      <c r="AM54" s="59">
        <f t="shared" ca="1" si="605"/>
        <v>0.55996466869130612</v>
      </c>
      <c r="AN54" s="59">
        <f t="shared" ca="1" si="606"/>
        <v>9.6121134691541226</v>
      </c>
      <c r="AO54" s="59">
        <f t="shared" ca="1" si="607"/>
        <v>22.010445436283554</v>
      </c>
      <c r="AP54" s="59">
        <f t="shared" ca="1" si="608"/>
        <v>4.9988093442954389</v>
      </c>
      <c r="AQ54" s="59">
        <f t="shared" ca="1" si="609"/>
        <v>6.3612087920406877</v>
      </c>
      <c r="AR54" s="59">
        <f t="shared" ca="1" si="610"/>
        <v>71.001043142722224</v>
      </c>
      <c r="AS54" s="59">
        <f t="shared" ca="1" si="611"/>
        <v>0.13379599191812044</v>
      </c>
      <c r="AT54" s="59">
        <f t="shared" ca="1" si="612"/>
        <v>7.6821110522619926E-3</v>
      </c>
      <c r="AU54" s="59">
        <f t="shared" ca="1" si="613"/>
        <v>2.6494214883154252E-4</v>
      </c>
      <c r="AV54" s="59">
        <f t="shared" ca="1" si="614"/>
        <v>0.52397379447941972</v>
      </c>
      <c r="AW54" s="59">
        <f t="shared" ca="1" si="615"/>
        <v>5.6816887649695582E-4</v>
      </c>
      <c r="AX54" s="59">
        <f t="shared" ca="1" si="616"/>
        <v>0.97471888002467177</v>
      </c>
      <c r="AY54" s="59">
        <f t="shared" ca="1" si="617"/>
        <v>0.51072715011725756</v>
      </c>
      <c r="AZ54" s="59">
        <f t="shared" ca="1" si="618"/>
        <v>31.178164191223512</v>
      </c>
      <c r="BA54" s="59">
        <f t="shared" ca="1" si="619"/>
        <v>10.567406933883401</v>
      </c>
      <c r="BB54" s="59">
        <f t="shared" ca="1" si="620"/>
        <v>9203.1003378498517</v>
      </c>
      <c r="BC54">
        <f t="shared" ca="1" si="625"/>
        <v>3.1747602092669497E-2</v>
      </c>
      <c r="BD54" s="59">
        <f t="shared" ca="1" si="631"/>
        <v>3.1747602092669497E-2</v>
      </c>
      <c r="BE54" s="59">
        <f t="shared" ca="1" si="621"/>
        <v>0.19843526195189551</v>
      </c>
      <c r="BF54" s="59">
        <f t="shared" ca="1" si="622"/>
        <v>19.843526195189551</v>
      </c>
      <c r="BG54" s="59">
        <f t="shared" ca="1" si="623"/>
        <v>498.15959596101203</v>
      </c>
      <c r="BH54" s="59">
        <f t="shared" ca="1" si="624"/>
        <v>1.2414716487927826E-3</v>
      </c>
      <c r="BI54" t="str">
        <f t="shared" ca="1" si="65"/>
        <v>Repetir</v>
      </c>
      <c r="BM54">
        <f t="shared" ca="1" si="632"/>
        <v>90.907485662769247</v>
      </c>
      <c r="BN54">
        <f t="shared" ca="1" si="633"/>
        <v>0.70250924136288495</v>
      </c>
    </row>
    <row r="55" spans="2:66" x14ac:dyDescent="0.25">
      <c r="D55">
        <v>21</v>
      </c>
      <c r="E55">
        <v>2200</v>
      </c>
      <c r="F55" s="26">
        <f t="shared" si="67"/>
        <v>1815.9425527296269</v>
      </c>
      <c r="G55">
        <v>478.31606976582248</v>
      </c>
      <c r="H55">
        <f ca="1">BG54</f>
        <v>498.15959596101203</v>
      </c>
      <c r="I55" s="59">
        <f t="shared" ca="1" si="628"/>
        <v>488.23783286341722</v>
      </c>
      <c r="J55">
        <v>112.5</v>
      </c>
      <c r="K55">
        <f>(E55+2400)/40</f>
        <v>115</v>
      </c>
      <c r="L55" s="59">
        <f t="shared" si="630"/>
        <v>113.75</v>
      </c>
      <c r="M55">
        <v>65.625110055778549</v>
      </c>
      <c r="N55">
        <v>0.70459250405642582</v>
      </c>
      <c r="O55" s="59">
        <f t="shared" si="584"/>
        <v>0.69873146990027302</v>
      </c>
      <c r="P55" s="59">
        <f t="shared" si="585"/>
        <v>669.1725095349168</v>
      </c>
      <c r="Q55" s="59">
        <f t="shared" si="586"/>
        <v>388.98490687972628</v>
      </c>
      <c r="R55" s="59">
        <f t="shared" ca="1" si="587"/>
        <v>0.72961430110562753</v>
      </c>
      <c r="S55" s="59">
        <f t="shared" si="588"/>
        <v>1.4749929620724407</v>
      </c>
      <c r="T55" s="59">
        <f t="shared" ca="1" si="589"/>
        <v>0.92449847932797169</v>
      </c>
      <c r="U55" s="59">
        <f t="shared" ca="1" si="590"/>
        <v>3.0712237782338007E-2</v>
      </c>
      <c r="V55" s="59">
        <f t="shared" ca="1" si="591"/>
        <v>1.7381698031486459</v>
      </c>
      <c r="W55" s="59">
        <f t="shared" si="592"/>
        <v>5.4208711522016371</v>
      </c>
      <c r="X55" s="59">
        <f t="shared" si="593"/>
        <v>1.3158257695596725</v>
      </c>
      <c r="Y55" s="59">
        <f t="shared" si="594"/>
        <v>115.44253876823367</v>
      </c>
      <c r="Z55" s="60">
        <f t="shared" si="595"/>
        <v>1.1713207710185445E-2</v>
      </c>
      <c r="AA55" s="59">
        <f t="shared" si="596"/>
        <v>1.0218848684104123</v>
      </c>
      <c r="AB55" s="59">
        <v>24</v>
      </c>
      <c r="AC55" s="61">
        <f t="shared" si="597"/>
        <v>59.382590965566941</v>
      </c>
      <c r="AD55" s="59">
        <f t="shared" si="27"/>
        <v>0.16498815587413193</v>
      </c>
      <c r="AE55" s="59">
        <f t="shared" si="598"/>
        <v>0.3320534453775732</v>
      </c>
      <c r="AF55" s="59">
        <f t="shared" ca="1" si="599"/>
        <v>0.42226641397323705</v>
      </c>
      <c r="AG55" s="59">
        <f t="shared" si="600"/>
        <v>2.0125895923759156</v>
      </c>
      <c r="AH55" s="59">
        <f t="shared" ca="1" si="601"/>
        <v>2.5593741061957229</v>
      </c>
      <c r="AI55" s="59">
        <f t="shared" ca="1" si="602"/>
        <v>4.5719636985716381</v>
      </c>
      <c r="AJ55" s="59">
        <f t="shared" ca="1" si="603"/>
        <v>0.4402024436468478</v>
      </c>
      <c r="AK55" s="59"/>
      <c r="AL55" s="59">
        <f t="shared" ca="1" si="604"/>
        <v>-9.0444642363145888</v>
      </c>
      <c r="AM55" s="59">
        <f t="shared" ca="1" si="605"/>
        <v>0.5597975563531522</v>
      </c>
      <c r="AN55" s="59">
        <f t="shared" ca="1" si="606"/>
        <v>9.6042617926677405</v>
      </c>
      <c r="AO55" s="59">
        <f t="shared" ca="1" si="607"/>
        <v>22.005687524246802</v>
      </c>
      <c r="AP55" s="59">
        <f t="shared" ca="1" si="608"/>
        <v>4.9990795240725063</v>
      </c>
      <c r="AQ55" s="59">
        <f t="shared" ca="1" si="609"/>
        <v>6.3572398154062526</v>
      </c>
      <c r="AR55" s="59">
        <f t="shared" ca="1" si="610"/>
        <v>71.004880665757526</v>
      </c>
      <c r="AS55" s="59">
        <f t="shared" ca="1" si="611"/>
        <v>0.13381768763961555</v>
      </c>
      <c r="AT55" s="59">
        <f t="shared" ca="1" si="612"/>
        <v>7.6827244487965678E-3</v>
      </c>
      <c r="AU55" s="59">
        <f t="shared" ca="1" si="613"/>
        <v>2.6507518183271862E-4</v>
      </c>
      <c r="AV55" s="59">
        <f t="shared" ca="1" si="614"/>
        <v>0.52408345222579422</v>
      </c>
      <c r="AW55" s="59">
        <f t="shared" ca="1" si="615"/>
        <v>5.6775791170648321E-4</v>
      </c>
      <c r="AX55" s="59">
        <f t="shared" ca="1" si="616"/>
        <v>0.97471888002460327</v>
      </c>
      <c r="AY55" s="59">
        <f t="shared" ca="1" si="617"/>
        <v>0.51083403559295382</v>
      </c>
      <c r="AZ55" s="59">
        <f t="shared" ca="1" si="618"/>
        <v>31.184902094966652</v>
      </c>
      <c r="BA55" s="59">
        <f t="shared" ca="1" si="619"/>
        <v>10.571415672577565</v>
      </c>
      <c r="BB55" s="59">
        <f t="shared" ca="1" si="620"/>
        <v>9198.1054298746931</v>
      </c>
      <c r="BC55">
        <f t="shared" ca="1" si="625"/>
        <v>3.1752146957375008E-2</v>
      </c>
      <c r="BD55" s="59">
        <f t="shared" ca="1" si="631"/>
        <v>3.1752146957375008E-2</v>
      </c>
      <c r="BE55" s="59">
        <f t="shared" ca="1" si="621"/>
        <v>0.19847514391946014</v>
      </c>
      <c r="BF55" s="59">
        <f t="shared" ca="1" si="622"/>
        <v>19.847514391946014</v>
      </c>
      <c r="BG55" s="59">
        <f t="shared" ca="1" si="623"/>
        <v>498.16358415776847</v>
      </c>
      <c r="BH55" s="59">
        <f t="shared" ca="1" si="624"/>
        <v>8.0058615527512354E-6</v>
      </c>
      <c r="BI55" t="str">
        <f t="shared" ca="1" si="65"/>
        <v>Listo</v>
      </c>
      <c r="BM55">
        <f t="shared" ca="1" si="632"/>
        <v>90.907485667011457</v>
      </c>
      <c r="BN55">
        <f t="shared" ca="1" si="633"/>
        <v>0.70250924136253534</v>
      </c>
    </row>
    <row r="56" spans="2:66" x14ac:dyDescent="0.25">
      <c r="D56">
        <v>22</v>
      </c>
      <c r="E56">
        <v>2300</v>
      </c>
      <c r="F56" s="26">
        <f t="shared" si="67"/>
        <v>1825.6197701043318</v>
      </c>
      <c r="G56">
        <f t="shared" ca="1" si="626"/>
        <v>498.16358415776847</v>
      </c>
      <c r="H56">
        <f ca="1">G56+$C$61</f>
        <v>518.00711035295808</v>
      </c>
      <c r="I56" s="59">
        <f t="shared" ca="1" si="628"/>
        <v>508.08534725536327</v>
      </c>
      <c r="J56">
        <f t="shared" si="629"/>
        <v>115</v>
      </c>
      <c r="K56">
        <f>(E56+2400)/40</f>
        <v>117.5</v>
      </c>
      <c r="L56" s="59">
        <f t="shared" si="630"/>
        <v>116.25</v>
      </c>
      <c r="M56">
        <v>68.287843102402576</v>
      </c>
      <c r="N56">
        <v>0.70437309538593063</v>
      </c>
      <c r="O56" s="59">
        <f t="shared" si="584"/>
        <v>0.69872881615114557</v>
      </c>
      <c r="P56" s="59">
        <f t="shared" si="585"/>
        <v>669.17260879776791</v>
      </c>
      <c r="Q56" s="59">
        <f t="shared" si="586"/>
        <v>388.98409076762255</v>
      </c>
      <c r="R56" s="59">
        <f t="shared" ca="1" si="587"/>
        <v>0.75927397591510326</v>
      </c>
      <c r="S56" s="59">
        <f t="shared" si="588"/>
        <v>1.4814230547651095</v>
      </c>
      <c r="T56" s="59">
        <f t="shared" ca="1" si="589"/>
        <v>0.92296743008543902</v>
      </c>
      <c r="U56" s="59">
        <f t="shared" ca="1" si="590"/>
        <v>2.9592021571992904E-2</v>
      </c>
      <c r="V56" s="59">
        <f t="shared" ca="1" si="591"/>
        <v>1.8039619707655004</v>
      </c>
      <c r="W56" s="59">
        <f t="shared" si="592"/>
        <v>5.4134147718818841</v>
      </c>
      <c r="X56" s="59">
        <f t="shared" si="593"/>
        <v>1.317317045623623</v>
      </c>
      <c r="Y56" s="59">
        <f t="shared" si="594"/>
        <v>115.94966754580447</v>
      </c>
      <c r="Z56" s="60">
        <f t="shared" si="595"/>
        <v>1.1763285115830822E-2</v>
      </c>
      <c r="AA56" s="59">
        <f t="shared" si="596"/>
        <v>1.0231003061471033</v>
      </c>
      <c r="AB56" s="42">
        <v>24</v>
      </c>
      <c r="AC56" s="61">
        <f t="shared" si="597"/>
        <v>59.451026767945301</v>
      </c>
      <c r="AD56" s="59">
        <f t="shared" si="27"/>
        <v>0.16498815587413193</v>
      </c>
      <c r="AE56" s="59">
        <f t="shared" si="598"/>
        <v>0.33244839230416584</v>
      </c>
      <c r="AF56" s="59">
        <f t="shared" ca="1" si="599"/>
        <v>0.40230448695907439</v>
      </c>
      <c r="AG56" s="59">
        <f t="shared" si="600"/>
        <v>2.0149833819452345</v>
      </c>
      <c r="AH56" s="59">
        <f t="shared" ca="1" si="601"/>
        <v>2.4383840453734695</v>
      </c>
      <c r="AI56" s="59">
        <f t="shared" ca="1" si="602"/>
        <v>4.4533674273187041</v>
      </c>
      <c r="AJ56" s="59">
        <f t="shared" ca="1" si="603"/>
        <v>0.45246286430006544</v>
      </c>
      <c r="AK56" s="59"/>
      <c r="AL56" s="59">
        <f t="shared" ca="1" si="604"/>
        <v>-8.5264824949746121</v>
      </c>
      <c r="AM56" s="59">
        <f t="shared" ca="1" si="605"/>
        <v>0.54753713569993456</v>
      </c>
      <c r="AN56" s="59">
        <f t="shared" ca="1" si="606"/>
        <v>9.0740196306745471</v>
      </c>
      <c r="AO56" s="59">
        <f t="shared" ca="1" si="607"/>
        <v>21.619737238601274</v>
      </c>
      <c r="AP56" s="59">
        <f t="shared" ca="1" si="608"/>
        <v>5.0286623812130244</v>
      </c>
      <c r="AQ56" s="59">
        <f t="shared" ca="1" si="609"/>
        <v>6.085315754853637</v>
      </c>
      <c r="AR56" s="59">
        <f t="shared" ca="1" si="610"/>
        <v>71.340210871064386</v>
      </c>
      <c r="AS56" s="59">
        <f t="shared" ca="1" si="611"/>
        <v>0.13556633795269479</v>
      </c>
      <c r="AT56" s="59">
        <f t="shared" ca="1" si="612"/>
        <v>7.731884173936201E-3</v>
      </c>
      <c r="AU56" s="59">
        <f t="shared" ca="1" si="613"/>
        <v>2.7498092604642653E-4</v>
      </c>
      <c r="AV56" s="59">
        <f t="shared" ca="1" si="614"/>
        <v>0.53211017536876837</v>
      </c>
      <c r="AW56" s="59">
        <f t="shared" ca="1" si="615"/>
        <v>5.3871952043398562E-4</v>
      </c>
      <c r="AX56" s="59">
        <f t="shared" ca="1" si="616"/>
        <v>0.97471888002010454</v>
      </c>
      <c r="AY56" s="59">
        <f t="shared" ca="1" si="617"/>
        <v>0.51865783418274736</v>
      </c>
      <c r="AZ56" s="59">
        <f t="shared" ca="1" si="618"/>
        <v>31.703063745463275</v>
      </c>
      <c r="BA56" s="59">
        <f t="shared" ca="1" si="619"/>
        <v>10.865549578640314</v>
      </c>
      <c r="BB56" s="59">
        <f t="shared" ca="1" si="620"/>
        <v>8861.8100960782649</v>
      </c>
      <c r="BC56">
        <f t="shared" ca="1" si="625"/>
        <v>3.2066285825379293E-2</v>
      </c>
      <c r="BD56" s="59">
        <f t="shared" ca="1" si="631"/>
        <v>3.2066285825379293E-2</v>
      </c>
      <c r="BE56" s="59">
        <f t="shared" ca="1" si="621"/>
        <v>0.20156593367691938</v>
      </c>
      <c r="BF56" s="59">
        <f t="shared" ca="1" si="622"/>
        <v>20.15659336769194</v>
      </c>
      <c r="BG56" s="59">
        <f t="shared" ca="1" si="623"/>
        <v>518.32017752546039</v>
      </c>
      <c r="BH56" s="59">
        <f t="shared" ca="1" si="624"/>
        <v>6.0436848499820423E-4</v>
      </c>
      <c r="BI56" t="str">
        <f t="shared" ca="1" si="65"/>
        <v>Listo</v>
      </c>
      <c r="BM56">
        <f t="shared" ca="1" si="632"/>
        <v>90.90748566696621</v>
      </c>
      <c r="BN56">
        <f t="shared" ca="1" si="633"/>
        <v>0.70250924136253912</v>
      </c>
    </row>
    <row r="57" spans="2:66" x14ac:dyDescent="0.25">
      <c r="D57">
        <v>23</v>
      </c>
      <c r="E57">
        <v>2400</v>
      </c>
      <c r="F57" s="26">
        <f t="shared" si="67"/>
        <v>1835.3369146212631</v>
      </c>
      <c r="G57">
        <f t="shared" ca="1" si="626"/>
        <v>518.32017752546039</v>
      </c>
      <c r="H57">
        <f ca="1">G57+$B$61</f>
        <v>537.54601954308464</v>
      </c>
      <c r="I57" s="59">
        <f t="shared" ca="1" si="628"/>
        <v>527.93309853427252</v>
      </c>
      <c r="J57">
        <f>K56</f>
        <v>117.5</v>
      </c>
      <c r="K57">
        <f>(E57+2400)/40</f>
        <v>120</v>
      </c>
      <c r="L57" s="59">
        <f t="shared" si="630"/>
        <v>118.75</v>
      </c>
      <c r="M57">
        <v>70.936603392555753</v>
      </c>
      <c r="N57">
        <v>0.70415483806777401</v>
      </c>
      <c r="O57" s="59">
        <f t="shared" si="584"/>
        <v>0.69873110694346063</v>
      </c>
      <c r="P57" s="59">
        <f t="shared" si="585"/>
        <v>669.17252311126072</v>
      </c>
      <c r="Q57" s="59">
        <f t="shared" si="586"/>
        <v>388.98479525899427</v>
      </c>
      <c r="R57" s="59">
        <f t="shared" ca="1" si="587"/>
        <v>0.78893421397473473</v>
      </c>
      <c r="S57" s="59">
        <f t="shared" si="588"/>
        <v>1.4878473581844145</v>
      </c>
      <c r="T57" s="59">
        <f t="shared" ca="1" si="589"/>
        <v>0.92152831151542036</v>
      </c>
      <c r="U57" s="59">
        <f t="shared" ca="1" si="590"/>
        <v>2.8558460135249857E-2</v>
      </c>
      <c r="V57" s="59">
        <f t="shared" ca="1" si="591"/>
        <v>1.8692554261561674</v>
      </c>
      <c r="W57" s="59">
        <f t="shared" si="592"/>
        <v>5.4060242348343257</v>
      </c>
      <c r="X57" s="59">
        <f t="shared" si="593"/>
        <v>1.3187951530331348</v>
      </c>
      <c r="Y57" s="59">
        <f t="shared" si="594"/>
        <v>116.45603124529843</v>
      </c>
      <c r="Z57" s="60">
        <f t="shared" si="595"/>
        <v>1.1813297494151893E-2</v>
      </c>
      <c r="AA57" s="59">
        <f t="shared" si="596"/>
        <v>1.0243209831957432</v>
      </c>
      <c r="AB57" s="59">
        <v>24</v>
      </c>
      <c r="AC57" s="61">
        <f t="shared" si="597"/>
        <v>59.518180816709567</v>
      </c>
      <c r="AD57" s="59">
        <f t="shared" si="27"/>
        <v>0.16498815587413193</v>
      </c>
      <c r="AE57" s="59">
        <f t="shared" si="598"/>
        <v>0.33284504170394086</v>
      </c>
      <c r="AF57" s="59">
        <f t="shared" ca="1" si="599"/>
        <v>0.38387560980860974</v>
      </c>
      <c r="AG57" s="59">
        <f t="shared" si="600"/>
        <v>2.0173874902745474</v>
      </c>
      <c r="AH57" s="59">
        <f t="shared" ca="1" si="601"/>
        <v>2.3266858628413618</v>
      </c>
      <c r="AI57" s="59">
        <f t="shared" ca="1" si="602"/>
        <v>4.3440733531159097</v>
      </c>
      <c r="AJ57" s="59">
        <f t="shared" ca="1" si="603"/>
        <v>0.46439995973537584</v>
      </c>
      <c r="AK57" s="59"/>
      <c r="AL57" s="59">
        <f t="shared" ca="1" si="604"/>
        <v>-8.0611822943211227</v>
      </c>
      <c r="AM57" s="59">
        <f t="shared" ca="1" si="605"/>
        <v>0.53560004026462404</v>
      </c>
      <c r="AN57" s="59">
        <f t="shared" ca="1" si="606"/>
        <v>8.5967823345857468</v>
      </c>
      <c r="AO57" s="59">
        <f t="shared" ca="1" si="607"/>
        <v>21.240244433771863</v>
      </c>
      <c r="AP57" s="59">
        <f t="shared" ca="1" si="608"/>
        <v>5.0584286748573559</v>
      </c>
      <c r="AQ57" s="59">
        <f t="shared" ca="1" si="609"/>
        <v>5.8339682102322694</v>
      </c>
      <c r="AR57" s="59">
        <f t="shared" ca="1" si="610"/>
        <v>71.676977931305871</v>
      </c>
      <c r="AS57" s="59">
        <f t="shared" ca="1" si="611"/>
        <v>0.13734013444171744</v>
      </c>
      <c r="AT57" s="59">
        <f t="shared" ca="1" si="612"/>
        <v>7.7811912994630557E-3</v>
      </c>
      <c r="AU57" s="59">
        <f t="shared" ca="1" si="613"/>
        <v>2.849566910943881E-4</v>
      </c>
      <c r="AV57" s="59">
        <f t="shared" ca="1" si="614"/>
        <v>0.53992737622355158</v>
      </c>
      <c r="AW57" s="59">
        <f t="shared" ca="1" si="615"/>
        <v>5.1195439622539398E-4</v>
      </c>
      <c r="AX57" s="59">
        <f t="shared" ca="1" si="616"/>
        <v>0.97471888001652618</v>
      </c>
      <c r="AY57" s="59">
        <f t="shared" ca="1" si="617"/>
        <v>0.52627740744288176</v>
      </c>
      <c r="AZ57" s="59">
        <f t="shared" ca="1" si="618"/>
        <v>32.208582422564731</v>
      </c>
      <c r="BA57" s="59">
        <f t="shared" ca="1" si="619"/>
        <v>11.151926236262547</v>
      </c>
      <c r="BB57" s="59">
        <f t="shared" ca="1" si="620"/>
        <v>8556.639743238442</v>
      </c>
      <c r="BC57">
        <f t="shared" ca="1" si="625"/>
        <v>3.2366078646255056E-2</v>
      </c>
      <c r="BD57" s="59">
        <f t="shared" ca="1" si="631"/>
        <v>3.2366078646255056E-2</v>
      </c>
      <c r="BE57" s="59">
        <f t="shared" ca="1" si="621"/>
        <v>0.20458921961763976</v>
      </c>
      <c r="BF57" s="59">
        <f t="shared" ca="1" si="622"/>
        <v>20.458921961763977</v>
      </c>
      <c r="BG57" s="59">
        <f t="shared" ca="1" si="623"/>
        <v>538.77909948722436</v>
      </c>
      <c r="BH57" s="59">
        <f t="shared" ca="1" si="624"/>
        <v>2.2939058225895496E-3</v>
      </c>
      <c r="BI57" t="str">
        <f t="shared" ca="1" si="65"/>
        <v>Repetir</v>
      </c>
      <c r="BM57">
        <f t="shared" ca="1" si="632"/>
        <v>90.907485666966707</v>
      </c>
      <c r="BN57">
        <f t="shared" ca="1" si="633"/>
        <v>0.70250924136253901</v>
      </c>
    </row>
    <row r="58" spans="2:66" x14ac:dyDescent="0.25">
      <c r="D58">
        <v>23</v>
      </c>
      <c r="E58">
        <v>2400</v>
      </c>
      <c r="F58" s="26">
        <f t="shared" si="67"/>
        <v>1835.3369146212631</v>
      </c>
      <c r="G58">
        <v>518.32017752546039</v>
      </c>
      <c r="H58">
        <f ca="1">BG57</f>
        <v>538.77909948722436</v>
      </c>
      <c r="I58" s="59">
        <f t="shared" ca="1" si="628"/>
        <v>528.54963850634238</v>
      </c>
      <c r="J58">
        <v>117.5</v>
      </c>
      <c r="K58">
        <v>120</v>
      </c>
      <c r="L58" s="59">
        <f t="shared" si="630"/>
        <v>118.75</v>
      </c>
      <c r="M58">
        <v>70.936603392555753</v>
      </c>
      <c r="N58">
        <v>0.70415483806777401</v>
      </c>
      <c r="O58" s="59">
        <f t="shared" si="584"/>
        <v>0.69873110694346063</v>
      </c>
      <c r="P58" s="59">
        <f t="shared" si="585"/>
        <v>669.17252311126072</v>
      </c>
      <c r="Q58" s="59">
        <f t="shared" si="586"/>
        <v>388.98479525899427</v>
      </c>
      <c r="R58" s="59">
        <f t="shared" ca="1" si="587"/>
        <v>0.78985556078856289</v>
      </c>
      <c r="S58" s="59">
        <f t="shared" si="588"/>
        <v>1.4878473581844145</v>
      </c>
      <c r="T58" s="59">
        <f t="shared" ca="1" si="589"/>
        <v>0.92144886161159467</v>
      </c>
      <c r="U58" s="59">
        <f t="shared" ca="1" si="590"/>
        <v>2.8522688097586225E-2</v>
      </c>
      <c r="V58" s="59">
        <f t="shared" ca="1" si="591"/>
        <v>1.8715997730591882</v>
      </c>
      <c r="W58" s="59">
        <f t="shared" si="592"/>
        <v>5.4060242348343257</v>
      </c>
      <c r="X58" s="59">
        <f t="shared" si="593"/>
        <v>1.3187951530331348</v>
      </c>
      <c r="Y58" s="59">
        <f t="shared" si="594"/>
        <v>116.45603124529843</v>
      </c>
      <c r="Z58" s="60">
        <f t="shared" si="595"/>
        <v>1.1813297494151893E-2</v>
      </c>
      <c r="AA58" s="59">
        <f t="shared" si="596"/>
        <v>1.0243209831957432</v>
      </c>
      <c r="AB58" s="42">
        <v>24</v>
      </c>
      <c r="AC58" s="61">
        <f t="shared" si="597"/>
        <v>59.518180816709567</v>
      </c>
      <c r="AD58" s="59">
        <f t="shared" si="27"/>
        <v>0.16498815587413193</v>
      </c>
      <c r="AE58" s="59">
        <f t="shared" si="598"/>
        <v>0.33284504170394086</v>
      </c>
      <c r="AF58" s="59">
        <f t="shared" ca="1" si="599"/>
        <v>0.38339477111117332</v>
      </c>
      <c r="AG58" s="59">
        <f t="shared" si="600"/>
        <v>2.0173874902745474</v>
      </c>
      <c r="AH58" s="59">
        <f t="shared" ca="1" si="601"/>
        <v>2.3237714797155617</v>
      </c>
      <c r="AI58" s="59">
        <f t="shared" ca="1" si="602"/>
        <v>4.3411589699901096</v>
      </c>
      <c r="AJ58" s="59">
        <f t="shared" ca="1" si="603"/>
        <v>0.46471172887712608</v>
      </c>
      <c r="AK58" s="59"/>
      <c r="AL58" s="59">
        <f t="shared" ca="1" si="604"/>
        <v>-8.0489330765504015</v>
      </c>
      <c r="AM58" s="59">
        <f t="shared" ca="1" si="605"/>
        <v>0.53528827112287392</v>
      </c>
      <c r="AN58" s="59">
        <f t="shared" ca="1" si="606"/>
        <v>8.5842213476732745</v>
      </c>
      <c r="AO58" s="59">
        <f t="shared" ca="1" si="607"/>
        <v>21.23107958978958</v>
      </c>
      <c r="AP58" s="59">
        <f t="shared" ca="1" si="608"/>
        <v>5.0589744809094945</v>
      </c>
      <c r="AQ58" s="59">
        <f t="shared" ca="1" si="609"/>
        <v>5.8272893393159952</v>
      </c>
      <c r="AR58" s="59">
        <f t="shared" ca="1" si="610"/>
        <v>71.684711899869754</v>
      </c>
      <c r="AS58" s="59">
        <f t="shared" ca="1" si="611"/>
        <v>0.13738459637051798</v>
      </c>
      <c r="AT58" s="59">
        <f t="shared" ca="1" si="612"/>
        <v>7.7824200456490097E-3</v>
      </c>
      <c r="AU58" s="59">
        <f t="shared" ca="1" si="613"/>
        <v>2.8522275584010737E-4</v>
      </c>
      <c r="AV58" s="59">
        <f t="shared" ca="1" si="614"/>
        <v>0.5401323434424512</v>
      </c>
      <c r="AW58" s="59">
        <f t="shared" ca="1" si="615"/>
        <v>5.1126678842611641E-4</v>
      </c>
      <c r="AX58" s="59">
        <f t="shared" ca="1" si="616"/>
        <v>0.97471888001644091</v>
      </c>
      <c r="AY58" s="59">
        <f t="shared" ca="1" si="617"/>
        <v>0.52647719286088168</v>
      </c>
      <c r="AZ58" s="59">
        <f t="shared" ca="1" si="618"/>
        <v>32.221209938947553</v>
      </c>
      <c r="BA58" s="59">
        <f t="shared" ca="1" si="619"/>
        <v>11.159405012642932</v>
      </c>
      <c r="BB58" s="59">
        <f t="shared" ca="1" si="620"/>
        <v>8548.5187584187661</v>
      </c>
      <c r="BC58">
        <f t="shared" ca="1" si="625"/>
        <v>3.2374259615183809E-2</v>
      </c>
      <c r="BD58" s="59">
        <f t="shared" ca="1" si="631"/>
        <v>3.2374259615183816E-2</v>
      </c>
      <c r="BE58" s="59">
        <f t="shared" ca="1" si="621"/>
        <v>0.20466438793640182</v>
      </c>
      <c r="BF58" s="59">
        <f t="shared" ca="1" si="622"/>
        <v>20.466438793640183</v>
      </c>
      <c r="BG58" s="59">
        <f t="shared" ca="1" si="623"/>
        <v>538.78661631910063</v>
      </c>
      <c r="BH58" s="59">
        <f t="shared" ca="1" si="624"/>
        <v>1.3951602583373301E-5</v>
      </c>
      <c r="BI58" t="str">
        <f t="shared" ca="1" si="65"/>
        <v>Listo</v>
      </c>
      <c r="BM58">
        <f t="shared" ca="1" si="632"/>
        <v>90.907485666966693</v>
      </c>
      <c r="BN58">
        <f t="shared" ca="1" si="633"/>
        <v>0.70250924136253901</v>
      </c>
    </row>
    <row r="59" spans="2:66" x14ac:dyDescent="0.25">
      <c r="D59">
        <v>24</v>
      </c>
      <c r="E59">
        <v>2500</v>
      </c>
      <c r="F59" s="26">
        <f t="shared" si="67"/>
        <v>1845.0938846922206</v>
      </c>
      <c r="G59">
        <f t="shared" ca="1" si="626"/>
        <v>538.78661631910063</v>
      </c>
      <c r="H59">
        <f ca="1">G59+$B$61</f>
        <v>558.01245833672488</v>
      </c>
      <c r="I59" s="59">
        <f t="shared" ca="1" si="628"/>
        <v>548.39953732791275</v>
      </c>
      <c r="J59">
        <f t="shared" si="629"/>
        <v>120</v>
      </c>
      <c r="K59">
        <f t="shared" ref="K59:K71" si="634">(E59+2400)/40</f>
        <v>122.5</v>
      </c>
      <c r="L59" s="59">
        <f t="shared" si="630"/>
        <v>121.25</v>
      </c>
      <c r="M59">
        <v>73.570749881338315</v>
      </c>
      <c r="N59">
        <v>0.70393778492392767</v>
      </c>
      <c r="O59" s="59">
        <f t="shared" si="584"/>
        <v>0.698738430866783</v>
      </c>
      <c r="P59" s="59">
        <f t="shared" si="585"/>
        <v>669.17224915912016</v>
      </c>
      <c r="Q59" s="59">
        <f t="shared" si="586"/>
        <v>388.98704759707732</v>
      </c>
      <c r="R59" s="59">
        <f t="shared" ca="1" si="587"/>
        <v>0.81951924637793927</v>
      </c>
      <c r="S59" s="59">
        <f t="shared" si="588"/>
        <v>1.4942656923684348</v>
      </c>
      <c r="T59" s="59">
        <f t="shared" ca="1" si="589"/>
        <v>0.92010083631715112</v>
      </c>
      <c r="U59" s="59">
        <f t="shared" ca="1" si="590"/>
        <v>2.7568637490993603E-2</v>
      </c>
      <c r="V59" s="59">
        <f t="shared" ca="1" si="591"/>
        <v>1.9363893531431182</v>
      </c>
      <c r="W59" s="59">
        <f t="shared" si="592"/>
        <v>5.3986987356005258</v>
      </c>
      <c r="X59" s="59">
        <f t="shared" si="593"/>
        <v>1.3202602528798948</v>
      </c>
      <c r="Y59" s="59">
        <f t="shared" si="594"/>
        <v>116.96162413013049</v>
      </c>
      <c r="Z59" s="60">
        <f t="shared" si="595"/>
        <v>1.1863244086177366E-2</v>
      </c>
      <c r="AA59" s="59">
        <f t="shared" si="596"/>
        <v>1.0255468111160222</v>
      </c>
      <c r="AB59" s="59">
        <v>24</v>
      </c>
      <c r="AC59" s="61">
        <f t="shared" si="597"/>
        <v>59.584029833410177</v>
      </c>
      <c r="AD59" s="59">
        <f t="shared" si="27"/>
        <v>0.16498815587413193</v>
      </c>
      <c r="AE59" s="59">
        <f t="shared" si="598"/>
        <v>0.33324336483891576</v>
      </c>
      <c r="AF59" s="59">
        <f t="shared" ca="1" si="599"/>
        <v>0.3663681273278353</v>
      </c>
      <c r="AG59" s="59">
        <f t="shared" si="600"/>
        <v>2.0198017431817608</v>
      </c>
      <c r="AH59" s="59">
        <f t="shared" ca="1" si="601"/>
        <v>2.2205722913063797</v>
      </c>
      <c r="AI59" s="59">
        <f t="shared" ca="1" si="602"/>
        <v>4.2403740344881404</v>
      </c>
      <c r="AJ59" s="59">
        <f t="shared" ca="1" si="603"/>
        <v>0.47632631620563459</v>
      </c>
      <c r="AK59" s="59"/>
      <c r="AL59" s="59">
        <f t="shared" ca="1" si="604"/>
        <v>-7.6303894129929741</v>
      </c>
      <c r="AM59" s="59">
        <f t="shared" ca="1" si="605"/>
        <v>0.5236736837943653</v>
      </c>
      <c r="AN59" s="59">
        <f t="shared" ca="1" si="606"/>
        <v>8.1540630967873398</v>
      </c>
      <c r="AO59" s="59">
        <f t="shared" ca="1" si="607"/>
        <v>20.858072741869414</v>
      </c>
      <c r="AP59" s="59">
        <f t="shared" ca="1" si="608"/>
        <v>5.088929555051072</v>
      </c>
      <c r="AQ59" s="59">
        <f t="shared" ca="1" si="609"/>
        <v>5.5947748339672581</v>
      </c>
      <c r="AR59" s="59">
        <f t="shared" ca="1" si="610"/>
        <v>72.022978121790572</v>
      </c>
      <c r="AS59" s="59">
        <f t="shared" ca="1" si="611"/>
        <v>0.13918467242439264</v>
      </c>
      <c r="AT59" s="59">
        <f t="shared" ca="1" si="612"/>
        <v>7.8318739867968869E-3</v>
      </c>
      <c r="AU59" s="59">
        <f t="shared" ca="1" si="613"/>
        <v>2.9527319754398874E-4</v>
      </c>
      <c r="AV59" s="59">
        <f t="shared" ca="1" si="614"/>
        <v>0.54774546337311869</v>
      </c>
      <c r="AW59" s="59">
        <f t="shared" ca="1" si="615"/>
        <v>4.8657932623252695E-4</v>
      </c>
      <c r="AX59" s="59">
        <f t="shared" ca="1" si="616"/>
        <v>0.97471888001359119</v>
      </c>
      <c r="AY59" s="59">
        <f t="shared" ca="1" si="617"/>
        <v>0.53389784459157175</v>
      </c>
      <c r="AZ59" s="59">
        <f t="shared" ca="1" si="618"/>
        <v>32.714340351347545</v>
      </c>
      <c r="BA59" s="59">
        <f t="shared" ca="1" si="619"/>
        <v>11.438044057667591</v>
      </c>
      <c r="BB59" s="59">
        <f t="shared" ca="1" si="620"/>
        <v>8271.3222978538361</v>
      </c>
      <c r="BC59">
        <f t="shared" ca="1" si="625"/>
        <v>3.2660177753709052E-2</v>
      </c>
      <c r="BD59" s="59">
        <f t="shared" ca="1" si="631"/>
        <v>3.2660177753709052E-2</v>
      </c>
      <c r="BE59" s="59">
        <f t="shared" ca="1" si="621"/>
        <v>0.20762073847646012</v>
      </c>
      <c r="BF59" s="59">
        <f t="shared" ca="1" si="622"/>
        <v>20.762073847646011</v>
      </c>
      <c r="BG59" s="59">
        <f t="shared" ca="1" si="623"/>
        <v>559.54869016674661</v>
      </c>
      <c r="BH59" s="59">
        <f t="shared" ca="1" si="624"/>
        <v>2.7530421714970317E-3</v>
      </c>
      <c r="BI59" t="str">
        <f t="shared" ca="1" si="65"/>
        <v>Repetir</v>
      </c>
      <c r="BM59">
        <f t="shared" ca="1" si="632"/>
        <v>90.907485666966693</v>
      </c>
      <c r="BN59">
        <f t="shared" ca="1" si="633"/>
        <v>0.70250924136253901</v>
      </c>
    </row>
    <row r="60" spans="2:66" x14ac:dyDescent="0.25">
      <c r="D60">
        <v>24</v>
      </c>
      <c r="E60">
        <v>2500</v>
      </c>
      <c r="F60" s="26">
        <f t="shared" si="67"/>
        <v>1845.0938846922206</v>
      </c>
      <c r="G60">
        <v>538.78661631920011</v>
      </c>
      <c r="H60">
        <f ca="1">BG59</f>
        <v>559.54869016674661</v>
      </c>
      <c r="I60" s="59">
        <f t="shared" ca="1" si="628"/>
        <v>549.1676532429733</v>
      </c>
      <c r="J60">
        <v>120</v>
      </c>
      <c r="K60">
        <f t="shared" si="634"/>
        <v>122.5</v>
      </c>
      <c r="L60" s="59">
        <f t="shared" si="630"/>
        <v>121.25</v>
      </c>
      <c r="M60">
        <v>73.570749881338315</v>
      </c>
      <c r="N60">
        <v>0.70393778492392767</v>
      </c>
      <c r="O60" s="59">
        <f t="shared" si="584"/>
        <v>0.698738430866783</v>
      </c>
      <c r="P60" s="59">
        <f t="shared" si="585"/>
        <v>669.17224915912016</v>
      </c>
      <c r="Q60" s="59">
        <f t="shared" si="586"/>
        <v>388.98704759707732</v>
      </c>
      <c r="R60" s="59">
        <f t="shared" ca="1" si="587"/>
        <v>0.82066710616445282</v>
      </c>
      <c r="S60" s="59">
        <f t="shared" si="588"/>
        <v>1.4942656923684348</v>
      </c>
      <c r="T60" s="59">
        <f t="shared" ca="1" si="589"/>
        <v>0.92000451869026489</v>
      </c>
      <c r="U60" s="59">
        <f t="shared" ca="1" si="590"/>
        <v>2.7527195590257059E-2</v>
      </c>
      <c r="V60" s="59">
        <f t="shared" ca="1" si="591"/>
        <v>1.9393045667578555</v>
      </c>
      <c r="W60" s="59">
        <f t="shared" si="592"/>
        <v>5.3986987356005258</v>
      </c>
      <c r="X60" s="59">
        <f t="shared" si="593"/>
        <v>1.3202602528798948</v>
      </c>
      <c r="Y60" s="59">
        <f t="shared" si="594"/>
        <v>116.96162413013049</v>
      </c>
      <c r="Z60" s="60">
        <f t="shared" si="595"/>
        <v>1.1863244086177366E-2</v>
      </c>
      <c r="AA60" s="59">
        <f t="shared" si="596"/>
        <v>1.0255468111160222</v>
      </c>
      <c r="AB60" s="42">
        <v>24</v>
      </c>
      <c r="AC60" s="61">
        <f t="shared" si="597"/>
        <v>59.584029833410177</v>
      </c>
      <c r="AD60" s="59">
        <f t="shared" si="27"/>
        <v>0.16498815587413193</v>
      </c>
      <c r="AE60" s="59">
        <f t="shared" si="598"/>
        <v>0.33324336483891576</v>
      </c>
      <c r="AF60" s="59">
        <f t="shared" ca="1" si="599"/>
        <v>0.36581739312594691</v>
      </c>
      <c r="AG60" s="59">
        <f t="shared" si="600"/>
        <v>2.0198017431817608</v>
      </c>
      <c r="AH60" s="59">
        <f t="shared" ca="1" si="601"/>
        <v>2.2172342686527506</v>
      </c>
      <c r="AI60" s="59">
        <f t="shared" ca="1" si="602"/>
        <v>4.2370360118345118</v>
      </c>
      <c r="AJ60" s="59">
        <f t="shared" ca="1" si="603"/>
        <v>0.4767015757100555</v>
      </c>
      <c r="AK60" s="59"/>
      <c r="AL60" s="59">
        <f t="shared" ca="1" si="604"/>
        <v>-7.6166953367352992</v>
      </c>
      <c r="AM60" s="59">
        <f t="shared" ca="1" si="605"/>
        <v>0.52329842428994444</v>
      </c>
      <c r="AN60" s="59">
        <f t="shared" ca="1" si="606"/>
        <v>8.1399937610252433</v>
      </c>
      <c r="AO60" s="59">
        <f t="shared" ca="1" si="607"/>
        <v>20.84686076403268</v>
      </c>
      <c r="AP60" s="59">
        <f t="shared" ca="1" si="608"/>
        <v>5.0896136563904157</v>
      </c>
      <c r="AQ60" s="59">
        <f t="shared" ca="1" si="609"/>
        <v>5.5871155925308749</v>
      </c>
      <c r="AR60" s="59">
        <f t="shared" ca="1" si="610"/>
        <v>72.032660121760046</v>
      </c>
      <c r="AS60" s="59">
        <f t="shared" ca="1" si="611"/>
        <v>0.1392408114730336</v>
      </c>
      <c r="AT60" s="59">
        <f t="shared" ca="1" si="612"/>
        <v>7.8334071564515155E-3</v>
      </c>
      <c r="AU60" s="59">
        <f t="shared" ca="1" si="613"/>
        <v>2.9560510031420155E-4</v>
      </c>
      <c r="AV60" s="59">
        <f t="shared" ca="1" si="614"/>
        <v>0.54799265633656291</v>
      </c>
      <c r="AW60" s="59">
        <f t="shared" ca="1" si="615"/>
        <v>4.8579303193104081E-4</v>
      </c>
      <c r="AX60" s="59">
        <f t="shared" ca="1" si="616"/>
        <v>0.97471888001350693</v>
      </c>
      <c r="AY60" s="59">
        <f t="shared" ca="1" si="617"/>
        <v>0.53413878824000116</v>
      </c>
      <c r="AZ60" s="59">
        <f t="shared" ca="1" si="618"/>
        <v>32.729588269115304</v>
      </c>
      <c r="BA60" s="59">
        <f t="shared" ca="1" si="619"/>
        <v>11.447045833978596</v>
      </c>
      <c r="BB60" s="59">
        <f t="shared" ca="1" si="620"/>
        <v>8262.1609348952097</v>
      </c>
      <c r="BC60">
        <f t="shared" ca="1" si="625"/>
        <v>3.2669855101797714E-2</v>
      </c>
      <c r="BD60" s="59">
        <f t="shared" ca="1" si="631"/>
        <v>3.2669855101797714E-2</v>
      </c>
      <c r="BE60" s="59">
        <f t="shared" ca="1" si="621"/>
        <v>0.20771173005315652</v>
      </c>
      <c r="BF60" s="59">
        <f t="shared" ca="1" si="622"/>
        <v>20.771173005315653</v>
      </c>
      <c r="BG60" s="59">
        <f t="shared" ca="1" si="623"/>
        <v>559.55778932451574</v>
      </c>
      <c r="BH60" s="59">
        <f t="shared" ca="1" si="624"/>
        <v>1.6261601410266601E-5</v>
      </c>
      <c r="BI60" t="str">
        <f t="shared" ca="1" si="65"/>
        <v>Listo</v>
      </c>
    </row>
    <row r="61" spans="2:66" x14ac:dyDescent="0.25">
      <c r="B61" s="63">
        <f ca="1">G53-G51</f>
        <v>19.225842017624245</v>
      </c>
      <c r="C61" s="63">
        <f ca="1">H55-G54</f>
        <v>19.843526195189554</v>
      </c>
      <c r="D61">
        <v>25</v>
      </c>
      <c r="E61">
        <v>2600</v>
      </c>
      <c r="F61" s="26">
        <f t="shared" si="67"/>
        <v>1854.8893664126115</v>
      </c>
      <c r="G61">
        <f t="shared" ca="1" si="626"/>
        <v>559.55778932451574</v>
      </c>
      <c r="H61">
        <f ca="1">G61+$B$61</f>
        <v>578.78363134213998</v>
      </c>
      <c r="I61" s="59">
        <f t="shared" ca="1" si="628"/>
        <v>569.17071033332786</v>
      </c>
      <c r="J61">
        <f t="shared" si="629"/>
        <v>122.5</v>
      </c>
      <c r="K61">
        <f t="shared" si="634"/>
        <v>125</v>
      </c>
      <c r="L61" s="59">
        <f t="shared" si="630"/>
        <v>123.75</v>
      </c>
      <c r="M61">
        <v>76.283419491795456</v>
      </c>
      <c r="N61">
        <v>0.70371426149055993</v>
      </c>
      <c r="O61" s="59">
        <f t="shared" ref="O61:O69" si="635">(ABS(($B$16*$B$8)-(M61*N61)))/($B$16-M61)</f>
        <v>0.69875141745514313</v>
      </c>
      <c r="P61" s="59">
        <f t="shared" ref="P61:P69" si="636">677+(15*O61)-(37.5*O61^2)</f>
        <v>669.17176338449326</v>
      </c>
      <c r="Q61" s="59">
        <f t="shared" ref="Q61:Q69" si="637">168+(325*O61)-(12.5*O61^2)</f>
        <v>388.99104138047687</v>
      </c>
      <c r="R61" s="59">
        <f t="shared" ref="R61:R69" ca="1" si="638">I61/P61</f>
        <v>0.85055996304239345</v>
      </c>
      <c r="S61" s="59">
        <f t="shared" ref="S61:S69" si="639">(L61+460)/Q61</f>
        <v>1.5006772339238195</v>
      </c>
      <c r="T61" s="59">
        <f t="shared" ref="T61:T69" ca="1" si="640">1-((3.25*R61)/(10^(0.9813*S61)))+((0.274*R61^2)/(10^(0.8157*S61)))</f>
        <v>0.91872684104212787</v>
      </c>
      <c r="U61" s="59">
        <f t="shared" ref="U61:U69" ca="1" si="641">(T61*(L61+460)/I61)*($B$17/(520))</f>
        <v>2.6636965381618482E-2</v>
      </c>
      <c r="V61" s="59">
        <f t="shared" ref="V61:V69" ca="1" si="642">(O61*$B$18)/U61</f>
        <v>2.0041550352583459</v>
      </c>
      <c r="W61" s="59">
        <f t="shared" ref="W61:W69" si="643">3.5+(986/(L61+460))+(0.2896*O61)</f>
        <v>5.3914376396170658</v>
      </c>
      <c r="X61" s="59">
        <f t="shared" ref="X61:X69" si="644">2.4-(0.2*W61)</f>
        <v>1.3217124720765867</v>
      </c>
      <c r="Y61" s="59">
        <f t="shared" ref="Y61:Y69" si="645">((9.4+(0.5792*O61))*(L61+460)^1.5)/((209+(550.24*O61)+(L61+460)))</f>
        <v>117.46641453457168</v>
      </c>
      <c r="Z61" s="60">
        <f t="shared" ref="Z61:Z69" si="646">Y61*((10^(-4))*EXP(W61*(O61/62.928)^X61))</f>
        <v>1.1913121708687665E-2</v>
      </c>
      <c r="AA61" s="59">
        <f t="shared" ref="AA61:AA69" si="647">0.9759+0.00012*(BT60*((BT61/$B$19)^0.5)+(1.25*L61))^1.2</f>
        <v>1.026777704757468</v>
      </c>
      <c r="AB61" s="42">
        <v>25</v>
      </c>
      <c r="AC61" s="61">
        <f t="shared" ref="AC61:AC69" si="648">(($B$19*$B$22)+(N61*$B$18*M61))/AA61</f>
        <v>59.653417158823302</v>
      </c>
      <c r="AD61" s="59">
        <f t="shared" si="27"/>
        <v>0.16498815587413193</v>
      </c>
      <c r="AE61" s="59">
        <f t="shared" ref="AE61:AE69" si="649">$B$21*AA61*(5.615/1)*(1/86400)</f>
        <v>0.33364333404011476</v>
      </c>
      <c r="AF61" s="59">
        <f t="shared" ref="AF61:AF69" ca="1" si="650">$B$21*($B$16-M61)*U61*(1/86400)</f>
        <v>0.34980529335451993</v>
      </c>
      <c r="AG61" s="59">
        <f t="shared" ref="AG61:AG69" si="651">AE61/AD61</f>
        <v>2.0222259729640739</v>
      </c>
      <c r="AH61" s="59">
        <f t="shared" ref="AH61:AH69" ca="1" si="652">AF61/AD61</f>
        <v>2.1201842732358522</v>
      </c>
      <c r="AI61" s="59">
        <f t="shared" ref="AI61:AI69" ca="1" si="653">AG61+AH61</f>
        <v>4.1424102461999261</v>
      </c>
      <c r="AJ61" s="59">
        <f t="shared" ref="AJ61:AJ69" ca="1" si="654">AE61/(AE61+AF61)</f>
        <v>0.48817617106349603</v>
      </c>
      <c r="AK61" s="59"/>
      <c r="AL61" s="59">
        <f t="shared" ref="AL61:AL69" ca="1" si="655">1.071-((0.2218*((AG61+AH61)^2))/($B$5*0.0833333))</f>
        <v>-7.2329836749468139</v>
      </c>
      <c r="AM61" s="59">
        <f t="shared" ref="AM61:AM69" ca="1" si="656">AH61/(AG61+AH61)</f>
        <v>0.51182382893650391</v>
      </c>
      <c r="AN61" s="59">
        <f t="shared" ref="AN61:AN69" ca="1" si="657">AM61-AL61</f>
        <v>7.744807503883318</v>
      </c>
      <c r="AO61" s="59">
        <f t="shared" ref="AO61:AO69" ca="1" si="658">(42.4-(0.047*J61)-(0.267*$B$2))*EXP(-0.0007*I61)</f>
        <v>20.478107025392401</v>
      </c>
      <c r="AP61" s="59">
        <f t="shared" ref="AP61:AP69" ca="1" si="659">1.938*AG61*(AC61/AO61)^0.25</f>
        <v>5.1199985304608413</v>
      </c>
      <c r="AQ61" s="59">
        <f t="shared" ref="AQ61:AQ69" ca="1" si="660">1.938*AH61*(AC61/AO61)^0.25</f>
        <v>5.3680154979725403</v>
      </c>
      <c r="AR61" s="59">
        <f t="shared" ref="AR61:AR69" ca="1" si="661">((120.872*$B$5)/12)*((AC61/AO61)^0.25)</f>
        <v>72.375825662398896</v>
      </c>
      <c r="AS61" s="59">
        <f t="shared" ref="AS61:AS69" ca="1" si="662">0.15726*AB61*(1/(AC61*AO61^3)^0.25)</f>
        <v>0.14695423016533066</v>
      </c>
      <c r="AT61" s="59">
        <f t="shared" ref="AT61:AT69" ca="1" si="663">0.0104*(1.163-EXP(-6.407*AS61))</f>
        <v>8.038904764416167E-3</v>
      </c>
      <c r="AU61" s="59">
        <f t="shared" ref="AU61:AU69" ca="1" si="664">(AP61*AT61*I61^0.1)/((AQ61^0.575)*AR61*$B$17^0.1)</f>
        <v>3.1190533057094872E-4</v>
      </c>
      <c r="AV61" s="59">
        <f t="shared" ref="AV61:AV69" ca="1" si="665">(0.0745*0.000841+1.0728*(AU61^0.884))/(0.000841+AU61^0.884)</f>
        <v>0.55981563651352928</v>
      </c>
      <c r="AW61" s="59">
        <f t="shared" ref="AW61:AW69" ca="1" si="666">(AQ61*AS61^0.1)/(AR61^2.14)</f>
        <v>4.6451721488793439E-4</v>
      </c>
      <c r="AX61" s="59">
        <f t="shared" ref="AX61:AX69" ca="1" si="667">(0.97471888*0.0102865321+1.7467011*(AW61^3.8462632))/(0.0102865321+AW61^3.8462632)</f>
        <v>0.97471888001136964</v>
      </c>
      <c r="AY61" s="59">
        <f t="shared" ref="AY61:AY69" ca="1" si="668">AV61*AX61</f>
        <v>0.54566287023531923</v>
      </c>
      <c r="AZ61" s="59">
        <f t="shared" ref="AZ61:AZ69" ca="1" si="669">(V61*(1-AY61))+(AC61*AY61)</f>
        <v>33.461216872551077</v>
      </c>
      <c r="BA61" s="59">
        <f t="shared" ref="BA61:BA69" ca="1" si="670">(Z61*(1-AJ61))+(AB61*AJ61)</f>
        <v>12.210501696154928</v>
      </c>
      <c r="BB61" s="59">
        <f t="shared" ref="BB61:BB69" ca="1" si="671">(1488*AZ61*AI61*($B$5/12))/BA61</f>
        <v>7741.8669692148942</v>
      </c>
      <c r="BC61">
        <f t="shared" ca="1" si="625"/>
        <v>3.3245354840034685E-2</v>
      </c>
      <c r="BD61" s="59">
        <f t="shared" ref="BD61:BD69" ca="1" si="672">(-2*LOG(($B$7/(3.71*$B$5))+(2.514/(BB61*SQRT(BC61)))))^(-2)</f>
        <v>3.3245354840034685E-2</v>
      </c>
      <c r="BE61" s="59">
        <f t="shared" ref="BE61:BE69" ca="1" si="673">((BD61*AZ61*(AI61^2))/(144*2*32.2*($B$5/12)))+((AZ61*SIN(90))/144)</f>
        <v>0.21222867547360613</v>
      </c>
      <c r="BF61" s="59">
        <f t="shared" ref="BF61:BF69" ca="1" si="674">BE61*100</f>
        <v>21.222867547360615</v>
      </c>
      <c r="BG61" s="59">
        <f t="shared" ref="BG61:BG69" ca="1" si="675">G61+BF61</f>
        <v>580.78065687187632</v>
      </c>
      <c r="BH61" s="59">
        <f t="shared" ref="BH61:BH69" ca="1" si="676">ABS(H61-BG61)/H61</f>
        <v>3.4503835657989082E-3</v>
      </c>
      <c r="BI61" t="str">
        <f t="shared" ca="1" si="65"/>
        <v>Repetir</v>
      </c>
    </row>
    <row r="62" spans="2:66" x14ac:dyDescent="0.25">
      <c r="D62">
        <v>25</v>
      </c>
      <c r="E62">
        <v>2600</v>
      </c>
      <c r="G62">
        <v>559.55778932451574</v>
      </c>
      <c r="H62">
        <f ca="1">BG61</f>
        <v>580.78065687187632</v>
      </c>
      <c r="I62" s="59">
        <f t="shared" ca="1" si="628"/>
        <v>570.16922309819597</v>
      </c>
      <c r="J62">
        <v>122.5</v>
      </c>
      <c r="K62">
        <f t="shared" si="634"/>
        <v>125</v>
      </c>
      <c r="L62" s="59">
        <f t="shared" si="630"/>
        <v>123.75</v>
      </c>
      <c r="M62">
        <v>76.283419491795456</v>
      </c>
      <c r="N62">
        <v>0.70371426149055993</v>
      </c>
      <c r="O62" s="59">
        <f t="shared" si="635"/>
        <v>0.69875141745514313</v>
      </c>
      <c r="P62" s="59">
        <f t="shared" si="636"/>
        <v>669.17176338449326</v>
      </c>
      <c r="Q62" s="59">
        <f t="shared" si="637"/>
        <v>388.99104138047687</v>
      </c>
      <c r="R62" s="59">
        <f t="shared" ca="1" si="638"/>
        <v>0.85205212517400808</v>
      </c>
      <c r="S62" s="59">
        <f t="shared" si="639"/>
        <v>1.5006772339238195</v>
      </c>
      <c r="T62" s="59">
        <f t="shared" ca="1" si="640"/>
        <v>0.9186050548012179</v>
      </c>
      <c r="U62" s="59">
        <f t="shared" ca="1" si="641"/>
        <v>2.6586792406216003E-2</v>
      </c>
      <c r="V62" s="59">
        <f t="shared" ca="1" si="642"/>
        <v>2.0079371545809934</v>
      </c>
      <c r="W62" s="59">
        <f t="shared" si="643"/>
        <v>5.3914376396170658</v>
      </c>
      <c r="X62" s="59">
        <f t="shared" si="644"/>
        <v>1.3217124720765867</v>
      </c>
      <c r="Y62" s="59">
        <f t="shared" si="645"/>
        <v>117.46641453457168</v>
      </c>
      <c r="Z62" s="60">
        <f t="shared" si="646"/>
        <v>1.1913121708687665E-2</v>
      </c>
      <c r="AA62" s="59">
        <f t="shared" si="647"/>
        <v>1.026777704757468</v>
      </c>
      <c r="AB62" s="42">
        <v>26</v>
      </c>
      <c r="AC62" s="61">
        <f t="shared" si="648"/>
        <v>59.653417158823302</v>
      </c>
      <c r="AD62" s="59">
        <f t="shared" si="27"/>
        <v>0.16498815587413193</v>
      </c>
      <c r="AE62" s="59">
        <f t="shared" si="649"/>
        <v>0.33364333404011476</v>
      </c>
      <c r="AF62" s="59">
        <f t="shared" ca="1" si="650"/>
        <v>0.34914640552222792</v>
      </c>
      <c r="AG62" s="59">
        <f t="shared" si="651"/>
        <v>2.0222259729640739</v>
      </c>
      <c r="AH62" s="59">
        <f t="shared" ca="1" si="652"/>
        <v>2.1161907269791462</v>
      </c>
      <c r="AI62" s="59">
        <f t="shared" ca="1" si="653"/>
        <v>4.1384166999432201</v>
      </c>
      <c r="AJ62" s="59">
        <f t="shared" ca="1" si="654"/>
        <v>0.48864725801822212</v>
      </c>
      <c r="AK62" s="59"/>
      <c r="AL62" s="59">
        <f t="shared" ca="1" si="655"/>
        <v>-7.2169802587472223</v>
      </c>
      <c r="AM62" s="59">
        <f t="shared" ca="1" si="656"/>
        <v>0.51135274198177794</v>
      </c>
      <c r="AN62" s="59">
        <f t="shared" ca="1" si="657"/>
        <v>7.7283330007290001</v>
      </c>
      <c r="AO62" s="59">
        <f t="shared" ca="1" si="658"/>
        <v>20.46379867056552</v>
      </c>
      <c r="AP62" s="59">
        <f t="shared" ca="1" si="659"/>
        <v>5.1208932758128825</v>
      </c>
      <c r="AQ62" s="59">
        <f t="shared" ca="1" si="660"/>
        <v>5.3588407077182802</v>
      </c>
      <c r="AR62" s="59">
        <f t="shared" ca="1" si="661"/>
        <v>72.388473699937649</v>
      </c>
      <c r="AS62" s="59">
        <f t="shared" ca="1" si="662"/>
        <v>0.15291253805359709</v>
      </c>
      <c r="AT62" s="59">
        <f t="shared" ca="1" si="663"/>
        <v>8.1908349343875232E-3</v>
      </c>
      <c r="AU62" s="59">
        <f t="shared" ca="1" si="664"/>
        <v>3.1816864998027432E-4</v>
      </c>
      <c r="AV62" s="59">
        <f t="shared" ca="1" si="665"/>
        <v>0.56419964644498399</v>
      </c>
      <c r="AW62" s="59">
        <f t="shared" ca="1" si="666"/>
        <v>4.6539594967224998E-4</v>
      </c>
      <c r="AX62" s="59">
        <f t="shared" ca="1" si="667"/>
        <v>0.97471888001145257</v>
      </c>
      <c r="AY62" s="59">
        <f t="shared" ca="1" si="668"/>
        <v>0.54993604748571234</v>
      </c>
      <c r="AZ62" s="59">
        <f t="shared" ca="1" si="669"/>
        <v>33.709264583530668</v>
      </c>
      <c r="BA62" s="59">
        <f t="shared" ca="1" si="670"/>
        <v>12.710920515925075</v>
      </c>
      <c r="BB62" s="59">
        <f t="shared" ca="1" si="671"/>
        <v>7484.9838471247913</v>
      </c>
      <c r="BC62">
        <f t="shared" ca="1" si="625"/>
        <v>3.3549841480503988E-2</v>
      </c>
      <c r="BD62" s="59">
        <f t="shared" ca="1" si="672"/>
        <v>3.3549841480504002E-2</v>
      </c>
      <c r="BE62" s="59">
        <f t="shared" ca="1" si="673"/>
        <v>0.21383456316082566</v>
      </c>
      <c r="BF62" s="59">
        <f t="shared" ca="1" si="674"/>
        <v>21.383456316082565</v>
      </c>
      <c r="BG62" s="59">
        <f t="shared" ca="1" si="675"/>
        <v>580.94124564059825</v>
      </c>
      <c r="BH62" s="59">
        <f t="shared" ca="1" si="676"/>
        <v>2.7650502271697275E-4</v>
      </c>
      <c r="BI62" t="str">
        <f t="shared" ca="1" si="65"/>
        <v>Listo</v>
      </c>
    </row>
    <row r="63" spans="2:66" x14ac:dyDescent="0.25">
      <c r="D63">
        <v>26</v>
      </c>
      <c r="E63">
        <v>2700</v>
      </c>
      <c r="G63">
        <f t="shared" ca="1" si="626"/>
        <v>580.94124564059825</v>
      </c>
      <c r="H63">
        <f ca="1">G63+$B$61</f>
        <v>600.1670876582225</v>
      </c>
      <c r="I63" s="59">
        <f t="shared" ca="1" si="628"/>
        <v>590.55416664941038</v>
      </c>
      <c r="J63">
        <f t="shared" si="629"/>
        <v>125</v>
      </c>
      <c r="K63">
        <f t="shared" si="634"/>
        <v>127.5</v>
      </c>
      <c r="L63" s="59">
        <f t="shared" si="630"/>
        <v>126.25</v>
      </c>
      <c r="M63">
        <v>79.073805053395304</v>
      </c>
      <c r="N63">
        <v>0.70348433427836121</v>
      </c>
      <c r="O63" s="59">
        <f t="shared" si="635"/>
        <v>0.69877074932259975</v>
      </c>
      <c r="P63" s="59">
        <f t="shared" si="636"/>
        <v>669.17104023575655</v>
      </c>
      <c r="Q63" s="59">
        <f t="shared" si="637"/>
        <v>388.99698652848406</v>
      </c>
      <c r="R63" s="59">
        <f t="shared" ca="1" si="638"/>
        <v>0.88251602526216832</v>
      </c>
      <c r="S63" s="59">
        <f t="shared" si="639"/>
        <v>1.5070810836655986</v>
      </c>
      <c r="T63" s="59">
        <f t="shared" ca="1" si="640"/>
        <v>0.91737005683809725</v>
      </c>
      <c r="U63" s="59">
        <f t="shared" ca="1" si="641"/>
        <v>2.5744334484194151E-2</v>
      </c>
      <c r="V63" s="59">
        <f t="shared" ca="1" si="642"/>
        <v>2.0737022850997855</v>
      </c>
      <c r="W63" s="59">
        <f t="shared" si="643"/>
        <v>5.384240341626426</v>
      </c>
      <c r="X63" s="59">
        <f t="shared" si="644"/>
        <v>1.3231519316747147</v>
      </c>
      <c r="Y63" s="59">
        <f t="shared" si="645"/>
        <v>117.97036806806008</v>
      </c>
      <c r="Z63" s="60">
        <f t="shared" si="646"/>
        <v>1.1962926925935249E-2</v>
      </c>
      <c r="AA63" s="59">
        <f t="shared" si="647"/>
        <v>1.0280135820729228</v>
      </c>
      <c r="AB63" s="42">
        <v>27</v>
      </c>
      <c r="AC63" s="61">
        <f t="shared" si="648"/>
        <v>59.72628418844598</v>
      </c>
      <c r="AD63" s="59">
        <f t="shared" si="27"/>
        <v>0.16498815587413193</v>
      </c>
      <c r="AE63" s="59">
        <f t="shared" si="649"/>
        <v>0.33404492264695962</v>
      </c>
      <c r="AF63" s="59">
        <f t="shared" ca="1" si="650"/>
        <v>0.33392576231018162</v>
      </c>
      <c r="AG63" s="59">
        <f t="shared" si="651"/>
        <v>2.0246600180306258</v>
      </c>
      <c r="AH63" s="59">
        <f t="shared" ca="1" si="652"/>
        <v>2.0239377823274221</v>
      </c>
      <c r="AI63" s="59">
        <f t="shared" ca="1" si="653"/>
        <v>4.0485978003580474</v>
      </c>
      <c r="AJ63" s="59">
        <f t="shared" ca="1" si="654"/>
        <v>0.50008919578318445</v>
      </c>
      <c r="AK63" s="59"/>
      <c r="AL63" s="59">
        <f t="shared" ca="1" si="655"/>
        <v>-6.8611248577860886</v>
      </c>
      <c r="AM63" s="59">
        <f t="shared" ca="1" si="656"/>
        <v>0.49991080421681561</v>
      </c>
      <c r="AN63" s="59">
        <f t="shared" ca="1" si="657"/>
        <v>7.3610356620029043</v>
      </c>
      <c r="AO63" s="59">
        <f t="shared" ca="1" si="658"/>
        <v>20.096149658072793</v>
      </c>
      <c r="AP63" s="59">
        <f t="shared" ca="1" si="659"/>
        <v>5.1519191560317648</v>
      </c>
      <c r="AQ63" s="59">
        <f t="shared" ca="1" si="660"/>
        <v>5.1500813660219027</v>
      </c>
      <c r="AR63" s="59">
        <f t="shared" ca="1" si="661"/>
        <v>72.739500033730764</v>
      </c>
      <c r="AS63" s="59">
        <f t="shared" ca="1" si="662"/>
        <v>0.16091851612439886</v>
      </c>
      <c r="AT63" s="59">
        <f t="shared" ca="1" si="663"/>
        <v>8.386056923192815E-3</v>
      </c>
      <c r="AU63" s="59">
        <f t="shared" ca="1" si="664"/>
        <v>3.3485568155017313E-4</v>
      </c>
      <c r="AV63" s="59">
        <f t="shared" ca="1" si="665"/>
        <v>0.57547639279101759</v>
      </c>
      <c r="AW63" s="59">
        <f t="shared" ca="1" si="666"/>
        <v>4.4492440207471892E-4</v>
      </c>
      <c r="AX63" s="59">
        <f t="shared" ca="1" si="667"/>
        <v>0.97471888000963292</v>
      </c>
      <c r="AY63" s="59">
        <f t="shared" ca="1" si="668"/>
        <v>0.5609277050532443</v>
      </c>
      <c r="AZ63" s="59">
        <f t="shared" ca="1" si="669"/>
        <v>34.412632742537973</v>
      </c>
      <c r="BA63" s="59">
        <f t="shared" ca="1" si="670"/>
        <v>13.508388682566311</v>
      </c>
      <c r="BB63" s="59">
        <f t="shared" ca="1" si="671"/>
        <v>7034.0161454444533</v>
      </c>
      <c r="BC63">
        <f t="shared" ca="1" si="625"/>
        <v>3.4121433340130708E-2</v>
      </c>
      <c r="BD63" s="59">
        <f t="shared" ca="1" si="672"/>
        <v>3.4121433340130701E-2</v>
      </c>
      <c r="BE63" s="59">
        <f t="shared" ca="1" si="673"/>
        <v>0.21817248753203872</v>
      </c>
      <c r="BF63" s="59">
        <f t="shared" ca="1" si="674"/>
        <v>21.81724875320387</v>
      </c>
      <c r="BG63" s="59">
        <f t="shared" ca="1" si="675"/>
        <v>602.75849439380215</v>
      </c>
      <c r="BH63" s="59">
        <f t="shared" ca="1" si="676"/>
        <v>4.3178088050296144E-3</v>
      </c>
      <c r="BI63" t="str">
        <f t="shared" ca="1" si="65"/>
        <v>Repetir</v>
      </c>
    </row>
    <row r="64" spans="2:66" x14ac:dyDescent="0.25">
      <c r="D64">
        <v>26</v>
      </c>
      <c r="E64">
        <v>2700</v>
      </c>
      <c r="G64">
        <v>580.94124564059825</v>
      </c>
      <c r="H64">
        <f ca="1">BG63</f>
        <v>602.75849439380215</v>
      </c>
      <c r="I64" s="59">
        <f t="shared" ca="1" si="628"/>
        <v>591.84987001720015</v>
      </c>
      <c r="J64">
        <v>125</v>
      </c>
      <c r="K64">
        <f t="shared" si="634"/>
        <v>127.5</v>
      </c>
      <c r="L64" s="59">
        <f t="shared" si="630"/>
        <v>126.25</v>
      </c>
      <c r="M64">
        <v>79.073805053395304</v>
      </c>
      <c r="N64">
        <v>0.70348433427836121</v>
      </c>
      <c r="O64" s="59">
        <f t="shared" si="635"/>
        <v>0.69877074932259975</v>
      </c>
      <c r="P64" s="59">
        <f t="shared" si="636"/>
        <v>669.17104023575655</v>
      </c>
      <c r="Q64" s="59">
        <f t="shared" si="637"/>
        <v>388.99698652848406</v>
      </c>
      <c r="R64" s="59">
        <f t="shared" ca="1" si="638"/>
        <v>0.88445230655630991</v>
      </c>
      <c r="S64" s="59">
        <f t="shared" si="639"/>
        <v>1.5070810836655986</v>
      </c>
      <c r="T64" s="59">
        <f t="shared" ca="1" si="640"/>
        <v>0.91721643660174557</v>
      </c>
      <c r="U64" s="59">
        <f t="shared" ca="1" si="641"/>
        <v>2.5683672235577472E-2</v>
      </c>
      <c r="V64" s="59">
        <f t="shared" ca="1" si="642"/>
        <v>2.0786001611675795</v>
      </c>
      <c r="W64" s="59">
        <f t="shared" si="643"/>
        <v>5.384240341626426</v>
      </c>
      <c r="X64" s="59">
        <f t="shared" si="644"/>
        <v>1.3231519316747147</v>
      </c>
      <c r="Y64" s="59">
        <f t="shared" si="645"/>
        <v>117.97036806806008</v>
      </c>
      <c r="Z64" s="60">
        <f t="shared" si="646"/>
        <v>1.1962926925935249E-2</v>
      </c>
      <c r="AA64" s="59">
        <f t="shared" si="647"/>
        <v>1.0280135820729228</v>
      </c>
      <c r="AB64" s="42">
        <v>28</v>
      </c>
      <c r="AC64" s="61">
        <f t="shared" si="648"/>
        <v>59.72628418844598</v>
      </c>
      <c r="AD64" s="59">
        <f t="shared" si="27"/>
        <v>0.16498815587413193</v>
      </c>
      <c r="AE64" s="59">
        <f t="shared" si="649"/>
        <v>0.33404492264695962</v>
      </c>
      <c r="AF64" s="59">
        <f t="shared" ca="1" si="650"/>
        <v>0.33313892170938031</v>
      </c>
      <c r="AG64" s="59">
        <f t="shared" si="651"/>
        <v>2.0246600180306258</v>
      </c>
      <c r="AH64" s="59">
        <f t="shared" ca="1" si="652"/>
        <v>2.0191687090770878</v>
      </c>
      <c r="AI64" s="59">
        <f t="shared" ca="1" si="653"/>
        <v>4.043828727107714</v>
      </c>
      <c r="AJ64" s="59">
        <f t="shared" ca="1" si="654"/>
        <v>0.50067897397789463</v>
      </c>
      <c r="AK64" s="59"/>
      <c r="AL64" s="59">
        <f t="shared" ca="1" si="655"/>
        <v>-6.8424484636633371</v>
      </c>
      <c r="AM64" s="59">
        <f t="shared" ca="1" si="656"/>
        <v>0.49932102602210532</v>
      </c>
      <c r="AN64" s="59">
        <f t="shared" ca="1" si="657"/>
        <v>7.3417694896854426</v>
      </c>
      <c r="AO64" s="59">
        <f t="shared" ca="1" si="658"/>
        <v>20.07793086731963</v>
      </c>
      <c r="AP64" s="59">
        <f t="shared" ca="1" si="659"/>
        <v>5.153087476309139</v>
      </c>
      <c r="AQ64" s="59">
        <f t="shared" ca="1" si="660"/>
        <v>5.1391112061477191</v>
      </c>
      <c r="AR64" s="59">
        <f t="shared" ca="1" si="661"/>
        <v>72.755995446465633</v>
      </c>
      <c r="AS64" s="59">
        <f t="shared" ca="1" si="662"/>
        <v>0.16699201790149945</v>
      </c>
      <c r="AT64" s="59">
        <f t="shared" ca="1" si="663"/>
        <v>8.5276183850708266E-3</v>
      </c>
      <c r="AU64" s="59">
        <f t="shared" ca="1" si="664"/>
        <v>3.4100072179465334E-4</v>
      </c>
      <c r="AV64" s="59">
        <f t="shared" ca="1" si="665"/>
        <v>0.5794881779538833</v>
      </c>
      <c r="AW64" s="59">
        <f t="shared" ca="1" si="666"/>
        <v>4.4540837872564666E-4</v>
      </c>
      <c r="AX64" s="59">
        <f t="shared" ca="1" si="667"/>
        <v>0.97471888000967333</v>
      </c>
      <c r="AY64" s="59">
        <f t="shared" ca="1" si="668"/>
        <v>0.56483806779405543</v>
      </c>
      <c r="AZ64" s="59">
        <f t="shared" ca="1" si="669"/>
        <v>34.640206619937743</v>
      </c>
      <c r="BA64" s="59">
        <f t="shared" ca="1" si="670"/>
        <v>14.024984612327936</v>
      </c>
      <c r="BB64" s="59">
        <f t="shared" ca="1" si="671"/>
        <v>6811.6952255558172</v>
      </c>
      <c r="BC64">
        <f t="shared" ca="1" si="625"/>
        <v>3.4422492141812318E-2</v>
      </c>
      <c r="BD64" s="59">
        <f t="shared" ca="1" si="672"/>
        <v>3.4422492141812318E-2</v>
      </c>
      <c r="BE64" s="59">
        <f t="shared" ca="1" si="673"/>
        <v>0.21964467228858131</v>
      </c>
      <c r="BF64" s="59">
        <f t="shared" ca="1" si="674"/>
        <v>21.96446722885813</v>
      </c>
      <c r="BG64" s="59">
        <f t="shared" ca="1" si="675"/>
        <v>602.90571286945635</v>
      </c>
      <c r="BH64" s="59">
        <f t="shared" ca="1" si="676"/>
        <v>2.4424122932063813E-4</v>
      </c>
      <c r="BI64" t="str">
        <f t="shared" ca="1" si="65"/>
        <v>Listo</v>
      </c>
    </row>
    <row r="65" spans="4:61" x14ac:dyDescent="0.25">
      <c r="D65">
        <v>27</v>
      </c>
      <c r="E65">
        <v>2800</v>
      </c>
      <c r="G65">
        <f t="shared" ca="1" si="626"/>
        <v>602.90571286945635</v>
      </c>
      <c r="H65">
        <f ca="1">G65+$B$61</f>
        <v>622.1315548870806</v>
      </c>
      <c r="I65" s="59">
        <f t="shared" ca="1" si="628"/>
        <v>612.51863387826847</v>
      </c>
      <c r="J65">
        <f t="shared" si="629"/>
        <v>127.5</v>
      </c>
      <c r="K65">
        <f t="shared" si="634"/>
        <v>130</v>
      </c>
      <c r="L65" s="59">
        <f t="shared" si="630"/>
        <v>128.75</v>
      </c>
      <c r="M65">
        <v>81.936477795636023</v>
      </c>
      <c r="N65">
        <v>0.70324845061693508</v>
      </c>
      <c r="O65" s="59">
        <f t="shared" si="635"/>
        <v>0.69879711499508335</v>
      </c>
      <c r="P65" s="59">
        <f t="shared" si="636"/>
        <v>669.17005392772182</v>
      </c>
      <c r="Q65" s="59">
        <f t="shared" si="637"/>
        <v>389.00509477433394</v>
      </c>
      <c r="R65" s="59">
        <f t="shared" ca="1" si="638"/>
        <v>0.91534077217452359</v>
      </c>
      <c r="S65" s="59">
        <f t="shared" si="639"/>
        <v>1.5134763217986649</v>
      </c>
      <c r="T65" s="59">
        <f t="shared" ca="1" si="640"/>
        <v>0.91603734155889127</v>
      </c>
      <c r="U65" s="59">
        <f t="shared" ca="1" si="641"/>
        <v>2.4890795902409658E-2</v>
      </c>
      <c r="V65" s="59">
        <f t="shared" ca="1" si="642"/>
        <v>2.1448932286032649</v>
      </c>
      <c r="W65" s="59">
        <f t="shared" si="643"/>
        <v>5.3771062517212593</v>
      </c>
      <c r="X65" s="59">
        <f t="shared" si="644"/>
        <v>1.324578749655748</v>
      </c>
      <c r="Y65" s="59">
        <f t="shared" si="645"/>
        <v>118.47344986818997</v>
      </c>
      <c r="Z65" s="60">
        <f t="shared" si="646"/>
        <v>1.2012656260505624E-2</v>
      </c>
      <c r="AA65" s="59">
        <f t="shared" si="647"/>
        <v>1.0292543639460869</v>
      </c>
      <c r="AB65" s="42">
        <v>29</v>
      </c>
      <c r="AC65" s="61">
        <f t="shared" si="648"/>
        <v>59.802333300791787</v>
      </c>
      <c r="AD65" s="59">
        <f t="shared" si="27"/>
        <v>0.16498815587413193</v>
      </c>
      <c r="AE65" s="59">
        <f t="shared" si="649"/>
        <v>0.33444810495123134</v>
      </c>
      <c r="AF65" s="59">
        <f t="shared" ca="1" si="650"/>
        <v>0.31873113887709115</v>
      </c>
      <c r="AG65" s="59">
        <f t="shared" si="651"/>
        <v>2.0271037225628423</v>
      </c>
      <c r="AH65" s="59">
        <f t="shared" ca="1" si="652"/>
        <v>1.9318425446263454</v>
      </c>
      <c r="AI65" s="59">
        <f t="shared" ca="1" si="653"/>
        <v>3.9589462671891877</v>
      </c>
      <c r="AJ65" s="59">
        <f t="shared" ca="1" si="654"/>
        <v>0.51203112791982042</v>
      </c>
      <c r="AK65" s="59"/>
      <c r="AL65" s="59">
        <f t="shared" ca="1" si="655"/>
        <v>-6.5137188452586274</v>
      </c>
      <c r="AM65" s="59">
        <f t="shared" ca="1" si="656"/>
        <v>0.48796887208017964</v>
      </c>
      <c r="AN65" s="59">
        <f t="shared" ca="1" si="657"/>
        <v>7.0016877173388075</v>
      </c>
      <c r="AO65" s="59">
        <f t="shared" ca="1" si="658"/>
        <v>19.713002563033537</v>
      </c>
      <c r="AP65" s="59">
        <f t="shared" ca="1" si="659"/>
        <v>5.1846695519607966</v>
      </c>
      <c r="AQ65" s="59">
        <f t="shared" ca="1" si="660"/>
        <v>4.9410225578608369</v>
      </c>
      <c r="AR65" s="59">
        <f t="shared" ca="1" si="661"/>
        <v>73.113654025531773</v>
      </c>
      <c r="AS65" s="59">
        <f t="shared" ca="1" si="662"/>
        <v>0.17529605930395584</v>
      </c>
      <c r="AT65" s="59">
        <f t="shared" ca="1" si="663"/>
        <v>8.7124670286351721E-3</v>
      </c>
      <c r="AU65" s="59">
        <f t="shared" ca="1" si="664"/>
        <v>3.5801337836782667E-4</v>
      </c>
      <c r="AV65" s="59">
        <f t="shared" ca="1" si="665"/>
        <v>0.59022361149948666</v>
      </c>
      <c r="AW65" s="59">
        <f t="shared" ca="1" si="666"/>
        <v>4.2583101020055275E-4</v>
      </c>
      <c r="AX65" s="59">
        <f t="shared" ca="1" si="667"/>
        <v>0.97471888000813756</v>
      </c>
      <c r="AY65" s="59">
        <f t="shared" ca="1" si="668"/>
        <v>0.57530209755513773</v>
      </c>
      <c r="AZ65" s="59">
        <f t="shared" ca="1" si="669"/>
        <v>35.315339441792979</v>
      </c>
      <c r="BA65" s="59">
        <f t="shared" ca="1" si="670"/>
        <v>14.854764512000918</v>
      </c>
      <c r="BB65" s="59">
        <f t="shared" ca="1" si="671"/>
        <v>6418.9145671514361</v>
      </c>
      <c r="BC65">
        <f t="shared" ca="1" si="625"/>
        <v>3.4989609630361566E-2</v>
      </c>
      <c r="BD65" s="59">
        <f t="shared" ca="1" si="672"/>
        <v>3.4989609630361566E-2</v>
      </c>
      <c r="BE65" s="59">
        <f t="shared" ca="1" si="673"/>
        <v>0.22380508624597897</v>
      </c>
      <c r="BF65" s="59">
        <f t="shared" ca="1" si="674"/>
        <v>22.380508624597898</v>
      </c>
      <c r="BG65" s="59">
        <f t="shared" ca="1" si="675"/>
        <v>625.2862214940543</v>
      </c>
      <c r="BH65" s="59">
        <f t="shared" ca="1" si="676"/>
        <v>5.0707387885931786E-3</v>
      </c>
      <c r="BI65" t="str">
        <f t="shared" ca="1" si="65"/>
        <v>Repetir</v>
      </c>
    </row>
    <row r="66" spans="4:61" x14ac:dyDescent="0.25">
      <c r="D66">
        <v>27</v>
      </c>
      <c r="E66">
        <v>2800</v>
      </c>
      <c r="G66">
        <v>602.90571286945635</v>
      </c>
      <c r="H66">
        <f ca="1">BG65</f>
        <v>625.2862214940543</v>
      </c>
      <c r="I66" s="59">
        <f t="shared" ca="1" si="628"/>
        <v>614.09596718175533</v>
      </c>
      <c r="J66">
        <v>127.5</v>
      </c>
      <c r="K66">
        <f t="shared" si="634"/>
        <v>130</v>
      </c>
      <c r="L66" s="59">
        <f t="shared" si="630"/>
        <v>128.75</v>
      </c>
      <c r="M66">
        <v>81.936477795636023</v>
      </c>
      <c r="N66">
        <v>0.70324845061693508</v>
      </c>
      <c r="O66" s="59">
        <f t="shared" si="635"/>
        <v>0.69879711499508335</v>
      </c>
      <c r="P66" s="59">
        <f t="shared" si="636"/>
        <v>669.17005392772182</v>
      </c>
      <c r="Q66" s="59">
        <f t="shared" si="637"/>
        <v>389.00509477433394</v>
      </c>
      <c r="R66" s="59">
        <f t="shared" ca="1" si="638"/>
        <v>0.91769792084581969</v>
      </c>
      <c r="S66" s="59">
        <f t="shared" si="639"/>
        <v>1.5134763217986649</v>
      </c>
      <c r="T66" s="59">
        <f t="shared" ca="1" si="640"/>
        <v>0.91585566210270397</v>
      </c>
      <c r="U66" s="59">
        <f t="shared" ca="1" si="641"/>
        <v>2.4821938806185443E-2</v>
      </c>
      <c r="V66" s="59">
        <f t="shared" ca="1" si="642"/>
        <v>2.1508432521121374</v>
      </c>
      <c r="W66" s="59">
        <f t="shared" si="643"/>
        <v>5.3771062517212593</v>
      </c>
      <c r="X66" s="59">
        <f t="shared" si="644"/>
        <v>1.324578749655748</v>
      </c>
      <c r="Y66" s="59">
        <f t="shared" si="645"/>
        <v>118.47344986818997</v>
      </c>
      <c r="Z66" s="60">
        <f t="shared" si="646"/>
        <v>1.2012656260505624E-2</v>
      </c>
      <c r="AA66" s="59">
        <f t="shared" si="647"/>
        <v>1.0292543639460869</v>
      </c>
      <c r="AB66" s="42">
        <v>30</v>
      </c>
      <c r="AC66" s="61">
        <f t="shared" si="648"/>
        <v>59.802333300791787</v>
      </c>
      <c r="AD66" s="59">
        <f t="shared" ref="AD66:AD71" si="677">(3.141592654*($B$5/12)^2)/4</f>
        <v>0.16498815587413193</v>
      </c>
      <c r="AE66" s="59">
        <f t="shared" si="649"/>
        <v>0.33444810495123134</v>
      </c>
      <c r="AF66" s="59">
        <f t="shared" ca="1" si="650"/>
        <v>0.31784941131862493</v>
      </c>
      <c r="AG66" s="59">
        <f t="shared" si="651"/>
        <v>2.0271037225628423</v>
      </c>
      <c r="AH66" s="59">
        <f t="shared" ca="1" si="652"/>
        <v>1.926498357622165</v>
      </c>
      <c r="AI66" s="59">
        <f t="shared" ca="1" si="653"/>
        <v>3.9536020801850071</v>
      </c>
      <c r="AJ66" s="59">
        <f t="shared" ca="1" si="654"/>
        <v>0.51272325374433858</v>
      </c>
      <c r="AK66" s="59"/>
      <c r="AL66" s="59">
        <f t="shared" ca="1" si="655"/>
        <v>-6.4932554216135268</v>
      </c>
      <c r="AM66" s="59">
        <f t="shared" ca="1" si="656"/>
        <v>0.48727674625566147</v>
      </c>
      <c r="AN66" s="59">
        <f t="shared" ca="1" si="657"/>
        <v>6.9805321678691881</v>
      </c>
      <c r="AO66" s="59">
        <f t="shared" ca="1" si="658"/>
        <v>19.69124879195714</v>
      </c>
      <c r="AP66" s="59">
        <f t="shared" ca="1" si="659"/>
        <v>5.1861008910919386</v>
      </c>
      <c r="AQ66" s="59">
        <f t="shared" ca="1" si="660"/>
        <v>4.9287141737966662</v>
      </c>
      <c r="AR66" s="59">
        <f t="shared" ca="1" si="661"/>
        <v>73.133838616464487</v>
      </c>
      <c r="AS66" s="59">
        <f t="shared" ca="1" si="662"/>
        <v>0.18149098147149609</v>
      </c>
      <c r="AT66" s="59">
        <f t="shared" ca="1" si="663"/>
        <v>8.8441010167991507E-3</v>
      </c>
      <c r="AU66" s="59">
        <f t="shared" ca="1" si="664"/>
        <v>3.6403768054893339E-4</v>
      </c>
      <c r="AV66" s="59">
        <f t="shared" ca="1" si="665"/>
        <v>0.59390014875855424</v>
      </c>
      <c r="AW66" s="59">
        <f t="shared" ca="1" si="666"/>
        <v>4.2599630128636239E-4</v>
      </c>
      <c r="AX66" s="59">
        <f t="shared" ca="1" si="667"/>
        <v>0.97471888000814966</v>
      </c>
      <c r="AY66" s="59">
        <f t="shared" ca="1" si="668"/>
        <v>0.57888568783461147</v>
      </c>
      <c r="AZ66" s="59">
        <f t="shared" ca="1" si="669"/>
        <v>35.524465723632318</v>
      </c>
      <c r="BA66" s="59">
        <f t="shared" ca="1" si="670"/>
        <v>15.387551100386665</v>
      </c>
      <c r="BB66" s="59">
        <f t="shared" ca="1" si="671"/>
        <v>6224.9429850341285</v>
      </c>
      <c r="BC66">
        <f t="shared" ca="1" si="625"/>
        <v>3.5287999821616331E-2</v>
      </c>
      <c r="BD66" s="59">
        <f t="shared" ca="1" si="672"/>
        <v>3.5287999821616345E-2</v>
      </c>
      <c r="BE66" s="59">
        <f t="shared" ca="1" si="673"/>
        <v>0.2251570054595145</v>
      </c>
      <c r="BF66" s="59">
        <f t="shared" ca="1" si="674"/>
        <v>22.51570054595145</v>
      </c>
      <c r="BG66" s="59">
        <f t="shared" ca="1" si="675"/>
        <v>625.42141341540776</v>
      </c>
      <c r="BH66" s="59">
        <f t="shared" ca="1" si="676"/>
        <v>2.1620806073485249E-4</v>
      </c>
      <c r="BI66" t="str">
        <f t="shared" ca="1" si="65"/>
        <v>Listo</v>
      </c>
    </row>
    <row r="67" spans="4:61" x14ac:dyDescent="0.25">
      <c r="D67">
        <v>28</v>
      </c>
      <c r="E67">
        <v>2900</v>
      </c>
      <c r="G67">
        <f t="shared" ca="1" si="626"/>
        <v>625.42141341540776</v>
      </c>
      <c r="H67">
        <f ca="1">G67+$B$61</f>
        <v>644.647255433032</v>
      </c>
      <c r="I67" s="59">
        <f t="shared" ca="1" si="628"/>
        <v>635.03433442421988</v>
      </c>
      <c r="J67">
        <f t="shared" si="629"/>
        <v>130</v>
      </c>
      <c r="K67">
        <f t="shared" si="634"/>
        <v>132.5</v>
      </c>
      <c r="L67" s="59">
        <f t="shared" si="630"/>
        <v>131.25</v>
      </c>
      <c r="M67">
        <v>84.86620974443413</v>
      </c>
      <c r="N67">
        <v>0.70300704129030056</v>
      </c>
      <c r="O67" s="59">
        <f t="shared" si="635"/>
        <v>0.69883121843513774</v>
      </c>
      <c r="P67" s="59">
        <f t="shared" si="636"/>
        <v>669.16877808179424</v>
      </c>
      <c r="Q67" s="59">
        <f t="shared" si="637"/>
        <v>389.01558259317557</v>
      </c>
      <c r="R67" s="59">
        <f t="shared" ca="1" si="638"/>
        <v>0.94898978437783299</v>
      </c>
      <c r="S67" s="59">
        <f t="shared" si="639"/>
        <v>1.519861996423719</v>
      </c>
      <c r="T67" s="59">
        <f t="shared" ca="1" si="640"/>
        <v>0.91473485353232464</v>
      </c>
      <c r="U67" s="59">
        <f t="shared" ca="1" si="641"/>
        <v>2.4075935155259028E-2</v>
      </c>
      <c r="V67" s="59">
        <f t="shared" ca="1" si="642"/>
        <v>2.2175963153307512</v>
      </c>
      <c r="W67" s="59">
        <f t="shared" si="643"/>
        <v>5.3700347978144185</v>
      </c>
      <c r="X67" s="59">
        <f t="shared" si="644"/>
        <v>1.3259930404371161</v>
      </c>
      <c r="Y67" s="59">
        <f t="shared" si="645"/>
        <v>118.97562414497287</v>
      </c>
      <c r="Z67" s="60">
        <f t="shared" si="646"/>
        <v>1.2062306150492464E-2</v>
      </c>
      <c r="AA67" s="59">
        <f t="shared" si="647"/>
        <v>1.0304999740318193</v>
      </c>
      <c r="AB67" s="42">
        <v>31</v>
      </c>
      <c r="AC67" s="61">
        <f t="shared" si="648"/>
        <v>59.881278995329019</v>
      </c>
      <c r="AD67" s="59">
        <f t="shared" si="677"/>
        <v>0.16498815587413193</v>
      </c>
      <c r="AE67" s="59">
        <f t="shared" si="649"/>
        <v>0.3348528561451774</v>
      </c>
      <c r="AF67" s="59">
        <f t="shared" ca="1" si="650"/>
        <v>0.30421475322606967</v>
      </c>
      <c r="AG67" s="59">
        <f t="shared" si="651"/>
        <v>2.0295569361999162</v>
      </c>
      <c r="AH67" s="59">
        <f t="shared" ca="1" si="652"/>
        <v>1.8438581340235873</v>
      </c>
      <c r="AI67" s="59">
        <f t="shared" ca="1" si="653"/>
        <v>3.8734150702235035</v>
      </c>
      <c r="AJ67" s="59">
        <f t="shared" ca="1" si="654"/>
        <v>0.52397094021808688</v>
      </c>
      <c r="AK67" s="59"/>
      <c r="AL67" s="59">
        <f t="shared" ca="1" si="655"/>
        <v>-6.1895303961165009</v>
      </c>
      <c r="AM67" s="59">
        <f t="shared" ca="1" si="656"/>
        <v>0.47602905978191312</v>
      </c>
      <c r="AN67" s="59">
        <f t="shared" ca="1" si="657"/>
        <v>6.6655594558984141</v>
      </c>
      <c r="AO67" s="59">
        <f t="shared" ca="1" si="658"/>
        <v>19.329409048602493</v>
      </c>
      <c r="AP67" s="59">
        <f t="shared" ca="1" si="659"/>
        <v>5.218229009251437</v>
      </c>
      <c r="AQ67" s="59">
        <f t="shared" ca="1" si="660"/>
        <v>4.7407756009651312</v>
      </c>
      <c r="AR67" s="59">
        <f t="shared" ca="1" si="661"/>
        <v>73.497958203452598</v>
      </c>
      <c r="AS67" s="59">
        <f t="shared" ca="1" si="662"/>
        <v>0.19010488014325355</v>
      </c>
      <c r="AT67" s="59">
        <f t="shared" ca="1" si="663"/>
        <v>9.0186653834238312E-3</v>
      </c>
      <c r="AU67" s="59">
        <f t="shared" ca="1" si="664"/>
        <v>3.8135084841561687E-4</v>
      </c>
      <c r="AV67" s="59">
        <f t="shared" ca="1" si="665"/>
        <v>0.60412406393030327</v>
      </c>
      <c r="AW67" s="59">
        <f t="shared" ca="1" si="666"/>
        <v>4.0730490328362773E-4</v>
      </c>
      <c r="AX67" s="59">
        <f t="shared" ca="1" si="667"/>
        <v>0.97471888000685791</v>
      </c>
      <c r="AY67" s="59">
        <f t="shared" ca="1" si="668"/>
        <v>0.58885113097933661</v>
      </c>
      <c r="AZ67" s="59">
        <f t="shared" ca="1" si="669"/>
        <v>36.172921077881313</v>
      </c>
      <c r="BA67" s="59">
        <f t="shared" ca="1" si="670"/>
        <v>16.248841155016311</v>
      </c>
      <c r="BB67" s="59">
        <f t="shared" ca="1" si="671"/>
        <v>5880.8432033309773</v>
      </c>
      <c r="BC67">
        <f t="shared" ca="1" si="625"/>
        <v>3.5850919284292709E-2</v>
      </c>
      <c r="BD67" s="59">
        <f t="shared" ca="1" si="672"/>
        <v>3.5850919284292695E-2</v>
      </c>
      <c r="BE67" s="59">
        <f t="shared" ca="1" si="673"/>
        <v>0.22915035901005681</v>
      </c>
      <c r="BF67" s="59">
        <f t="shared" ca="1" si="674"/>
        <v>22.91503590100568</v>
      </c>
      <c r="BG67" s="59">
        <f t="shared" ca="1" si="675"/>
        <v>648.33644931641345</v>
      </c>
      <c r="BH67" s="59">
        <f t="shared" ca="1" si="676"/>
        <v>5.7228101916036072E-3</v>
      </c>
      <c r="BI67" t="str">
        <f t="shared" ref="BI67:BI71" ca="1" si="678">IF(BH67&lt;$BI$1,"Listo","Repetir")</f>
        <v>Repetir</v>
      </c>
    </row>
    <row r="68" spans="4:61" x14ac:dyDescent="0.25">
      <c r="D68">
        <v>28</v>
      </c>
      <c r="E68">
        <v>2900</v>
      </c>
      <c r="G68">
        <v>625.42141341540776</v>
      </c>
      <c r="H68">
        <f ca="1">BG67</f>
        <v>648.33644931641345</v>
      </c>
      <c r="I68" s="59">
        <f t="shared" ca="1" si="628"/>
        <v>636.8789313659106</v>
      </c>
      <c r="J68">
        <v>130</v>
      </c>
      <c r="K68">
        <f t="shared" si="634"/>
        <v>132.5</v>
      </c>
      <c r="L68" s="59">
        <f t="shared" si="630"/>
        <v>131.25</v>
      </c>
      <c r="M68">
        <v>84.86620974443413</v>
      </c>
      <c r="N68">
        <v>0.70300704129030056</v>
      </c>
      <c r="O68" s="59">
        <f t="shared" si="635"/>
        <v>0.69883121843513774</v>
      </c>
      <c r="P68" s="59">
        <f t="shared" si="636"/>
        <v>669.16877808179424</v>
      </c>
      <c r="Q68" s="59">
        <f t="shared" si="637"/>
        <v>389.01558259317557</v>
      </c>
      <c r="R68" s="59">
        <f t="shared" ca="1" si="638"/>
        <v>0.95174633399895903</v>
      </c>
      <c r="S68" s="59">
        <f t="shared" si="639"/>
        <v>1.519861996423719</v>
      </c>
      <c r="T68" s="59">
        <f t="shared" ca="1" si="640"/>
        <v>0.91452857127161458</v>
      </c>
      <c r="U68" s="59">
        <f t="shared" ca="1" si="641"/>
        <v>2.4000790204797586E-2</v>
      </c>
      <c r="V68" s="59">
        <f t="shared" ca="1" si="642"/>
        <v>2.2245394686118334</v>
      </c>
      <c r="W68" s="59">
        <f t="shared" si="643"/>
        <v>5.3700347978144185</v>
      </c>
      <c r="X68" s="59">
        <f t="shared" si="644"/>
        <v>1.3259930404371161</v>
      </c>
      <c r="Y68" s="59">
        <f t="shared" si="645"/>
        <v>118.97562414497287</v>
      </c>
      <c r="Z68" s="60">
        <f t="shared" si="646"/>
        <v>1.2062306150492464E-2</v>
      </c>
      <c r="AA68" s="59">
        <f t="shared" si="647"/>
        <v>1.0304999740318193</v>
      </c>
      <c r="AB68" s="42">
        <v>32</v>
      </c>
      <c r="AC68" s="61">
        <f t="shared" si="648"/>
        <v>59.881278995329019</v>
      </c>
      <c r="AD68" s="59">
        <f t="shared" si="677"/>
        <v>0.16498815587413193</v>
      </c>
      <c r="AE68" s="59">
        <f t="shared" si="649"/>
        <v>0.3348528561451774</v>
      </c>
      <c r="AF68" s="59">
        <f t="shared" ca="1" si="650"/>
        <v>0.30326524898403734</v>
      </c>
      <c r="AG68" s="59">
        <f t="shared" si="651"/>
        <v>2.0295569361999162</v>
      </c>
      <c r="AH68" s="59">
        <f t="shared" ca="1" si="652"/>
        <v>1.8381031497521303</v>
      </c>
      <c r="AI68" s="59">
        <f t="shared" ca="1" si="653"/>
        <v>3.8676600859520462</v>
      </c>
      <c r="AJ68" s="59">
        <f t="shared" ca="1" si="654"/>
        <v>0.52475059625109977</v>
      </c>
      <c r="AK68" s="59"/>
      <c r="AL68" s="59">
        <f t="shared" ca="1" si="655"/>
        <v>-6.1679715408442304</v>
      </c>
      <c r="AM68" s="59">
        <f t="shared" ca="1" si="656"/>
        <v>0.47524940374890023</v>
      </c>
      <c r="AN68" s="59">
        <f t="shared" ca="1" si="657"/>
        <v>6.6432209445931303</v>
      </c>
      <c r="AO68" s="59">
        <f t="shared" ca="1" si="658"/>
        <v>19.304466676914775</v>
      </c>
      <c r="AP68" s="59">
        <f t="shared" ca="1" si="659"/>
        <v>5.2199137487800416</v>
      </c>
      <c r="AQ68" s="59">
        <f t="shared" ca="1" si="660"/>
        <v>4.7275046745088902</v>
      </c>
      <c r="AR68" s="59">
        <f t="shared" ca="1" si="661"/>
        <v>73.521687502269799</v>
      </c>
      <c r="AS68" s="59">
        <f t="shared" ca="1" si="662"/>
        <v>0.19642742650509684</v>
      </c>
      <c r="AT68" s="59">
        <f t="shared" ca="1" si="663"/>
        <v>9.1408008863997688E-3</v>
      </c>
      <c r="AU68" s="59">
        <f t="shared" ca="1" si="664"/>
        <v>3.8725112042791278E-4</v>
      </c>
      <c r="AV68" s="59">
        <f t="shared" ca="1" si="665"/>
        <v>0.60749735693258766</v>
      </c>
      <c r="AW68" s="59">
        <f t="shared" ca="1" si="666"/>
        <v>4.0721435673742176E-4</v>
      </c>
      <c r="AX68" s="59">
        <f t="shared" ca="1" si="667"/>
        <v>0.97471888000685203</v>
      </c>
      <c r="AY68" s="59">
        <f t="shared" ca="1" si="668"/>
        <v>0.59213914335645468</v>
      </c>
      <c r="AZ68" s="59">
        <f t="shared" ca="1" si="669"/>
        <v>36.365351820688389</v>
      </c>
      <c r="BA68" s="59">
        <f t="shared" ca="1" si="670"/>
        <v>16.797751683841049</v>
      </c>
      <c r="BB68" s="59">
        <f t="shared" ca="1" si="671"/>
        <v>5710.4365437630595</v>
      </c>
      <c r="BC68">
        <f t="shared" ca="1" si="625"/>
        <v>3.6147178950004896E-2</v>
      </c>
      <c r="BD68" s="59">
        <f t="shared" ca="1" si="672"/>
        <v>3.6147178950004896E-2</v>
      </c>
      <c r="BE68" s="59">
        <f t="shared" ca="1" si="673"/>
        <v>0.23039363224437071</v>
      </c>
      <c r="BF68" s="59">
        <f t="shared" ca="1" si="674"/>
        <v>23.039363224437071</v>
      </c>
      <c r="BG68" s="59">
        <f t="shared" ca="1" si="675"/>
        <v>648.46077663984488</v>
      </c>
      <c r="BH68" s="59">
        <f t="shared" ca="1" si="676"/>
        <v>1.9176358750540274E-4</v>
      </c>
      <c r="BI68" t="str">
        <f t="shared" ca="1" si="678"/>
        <v>Listo</v>
      </c>
    </row>
    <row r="69" spans="4:61" x14ac:dyDescent="0.25">
      <c r="D69">
        <v>29</v>
      </c>
      <c r="E69">
        <v>3000</v>
      </c>
      <c r="G69">
        <f t="shared" ca="1" si="626"/>
        <v>648.46077663984488</v>
      </c>
      <c r="H69">
        <f ca="1">G69+$B$61</f>
        <v>667.68661865746913</v>
      </c>
      <c r="I69" s="59">
        <f t="shared" ca="1" si="628"/>
        <v>658.073697648657</v>
      </c>
      <c r="J69">
        <f t="shared" si="629"/>
        <v>132.5</v>
      </c>
      <c r="K69">
        <f t="shared" si="634"/>
        <v>135</v>
      </c>
      <c r="L69" s="59">
        <f t="shared" si="630"/>
        <v>133.75</v>
      </c>
      <c r="M69">
        <v>87.858087719929728</v>
      </c>
      <c r="N69">
        <v>0.70276051114349525</v>
      </c>
      <c r="O69" s="59">
        <f t="shared" si="635"/>
        <v>0.69887378185951909</v>
      </c>
      <c r="P69" s="59">
        <f t="shared" si="636"/>
        <v>669.16718561649418</v>
      </c>
      <c r="Q69" s="59">
        <f t="shared" si="637"/>
        <v>389.02867206721083</v>
      </c>
      <c r="R69" s="59">
        <f t="shared" ca="1" si="638"/>
        <v>0.98342194864558863</v>
      </c>
      <c r="S69" s="59">
        <f t="shared" si="639"/>
        <v>1.5262371198630325</v>
      </c>
      <c r="T69" s="59">
        <f t="shared" ca="1" si="640"/>
        <v>0.9134680080111327</v>
      </c>
      <c r="U69" s="59">
        <f t="shared" ca="1" si="641"/>
        <v>2.3298953930323048E-2</v>
      </c>
      <c r="V69" s="59">
        <f t="shared" ca="1" si="642"/>
        <v>2.2916890214790397</v>
      </c>
      <c r="W69" s="59">
        <f t="shared" si="643"/>
        <v>5.363025426173885</v>
      </c>
      <c r="X69" s="59">
        <f t="shared" si="644"/>
        <v>1.3273949147652229</v>
      </c>
      <c r="Y69" s="59">
        <f t="shared" si="645"/>
        <v>119.47685404451245</v>
      </c>
      <c r="Z69" s="60">
        <f t="shared" si="646"/>
        <v>1.2111872936578588E-2</v>
      </c>
      <c r="AA69" s="59">
        <f t="shared" si="647"/>
        <v>1.0317503386080205</v>
      </c>
      <c r="AB69" s="42">
        <v>33</v>
      </c>
      <c r="AC69" s="61">
        <f t="shared" si="648"/>
        <v>59.962853723530401</v>
      </c>
      <c r="AD69" s="59">
        <f t="shared" si="677"/>
        <v>0.16498815587413193</v>
      </c>
      <c r="AE69" s="59">
        <f t="shared" si="649"/>
        <v>0.33525915227338166</v>
      </c>
      <c r="AF69" s="59">
        <f t="shared" ca="1" si="650"/>
        <v>0.29036309508219493</v>
      </c>
      <c r="AG69" s="59">
        <f t="shared" si="651"/>
        <v>2.032019513747084</v>
      </c>
      <c r="AH69" s="59">
        <f t="shared" ca="1" si="652"/>
        <v>1.7599026641870612</v>
      </c>
      <c r="AI69" s="59">
        <f t="shared" ca="1" si="653"/>
        <v>3.7919221779341452</v>
      </c>
      <c r="AJ69" s="59">
        <f t="shared" ca="1" si="654"/>
        <v>0.53588112265904586</v>
      </c>
      <c r="AK69" s="59"/>
      <c r="AL69" s="59">
        <f t="shared" ca="1" si="655"/>
        <v>-5.8872351824611835</v>
      </c>
      <c r="AM69" s="59">
        <f t="shared" ca="1" si="656"/>
        <v>0.46411887734095414</v>
      </c>
      <c r="AN69" s="59">
        <f t="shared" ca="1" si="657"/>
        <v>6.3513540598021372</v>
      </c>
      <c r="AO69" s="59">
        <f t="shared" ca="1" si="658"/>
        <v>18.946045754461931</v>
      </c>
      <c r="AP69" s="59">
        <f t="shared" ca="1" si="659"/>
        <v>5.2525787801344306</v>
      </c>
      <c r="AQ69" s="59">
        <f t="shared" ca="1" si="660"/>
        <v>4.5491823904608282</v>
      </c>
      <c r="AR69" s="59">
        <f t="shared" ca="1" si="661"/>
        <v>73.892111950390486</v>
      </c>
      <c r="AS69" s="59">
        <f t="shared" ca="1" si="662"/>
        <v>0.20536323714840973</v>
      </c>
      <c r="AT69" s="59">
        <f t="shared" ca="1" si="663"/>
        <v>9.3051945597619999E-3</v>
      </c>
      <c r="AU69" s="59">
        <f t="shared" ca="1" si="664"/>
        <v>4.0484054174248947E-4</v>
      </c>
      <c r="AV69" s="59">
        <f t="shared" ca="1" si="665"/>
        <v>0.61723818182815482</v>
      </c>
      <c r="AW69" s="59">
        <f t="shared" ca="1" si="666"/>
        <v>3.8939083847128669E-4</v>
      </c>
      <c r="AX69" s="59">
        <f t="shared" ca="1" si="667"/>
        <v>0.97471888000576845</v>
      </c>
      <c r="AY69" s="59">
        <f t="shared" ca="1" si="668"/>
        <v>0.60163370928833593</v>
      </c>
      <c r="AZ69" s="59">
        <f t="shared" ca="1" si="669"/>
        <v>36.988605760152751</v>
      </c>
      <c r="BA69" s="59">
        <f t="shared" ca="1" si="670"/>
        <v>17.689698396618333</v>
      </c>
      <c r="BB69" s="59">
        <f t="shared" ca="1" si="671"/>
        <v>5407.4351949384345</v>
      </c>
      <c r="BC69">
        <f t="shared" ca="1" si="625"/>
        <v>3.6706042027878874E-2</v>
      </c>
      <c r="BD69" s="59">
        <f t="shared" ca="1" si="672"/>
        <v>3.6706042027878874E-2</v>
      </c>
      <c r="BE69" s="59">
        <f t="shared" ca="1" si="673"/>
        <v>0.23422971701624234</v>
      </c>
      <c r="BF69" s="59">
        <f t="shared" ca="1" si="674"/>
        <v>23.422971701624235</v>
      </c>
      <c r="BG69" s="59">
        <f t="shared" ca="1" si="675"/>
        <v>671.88374834146907</v>
      </c>
      <c r="BH69" s="59">
        <f t="shared" ca="1" si="676"/>
        <v>6.2860772804451282E-3</v>
      </c>
      <c r="BI69" t="str">
        <f t="shared" ca="1" si="678"/>
        <v>Repetir</v>
      </c>
    </row>
    <row r="70" spans="4:61" x14ac:dyDescent="0.25">
      <c r="D70">
        <v>29</v>
      </c>
      <c r="E70">
        <v>3000</v>
      </c>
      <c r="G70">
        <v>648.46077663984488</v>
      </c>
      <c r="H70">
        <f ca="1">BG69</f>
        <v>671.88374834146907</v>
      </c>
      <c r="I70" s="59">
        <f t="shared" ca="1" si="628"/>
        <v>660.17226249065698</v>
      </c>
      <c r="J70">
        <v>132.5</v>
      </c>
      <c r="K70">
        <f t="shared" si="634"/>
        <v>135</v>
      </c>
      <c r="L70" s="59">
        <f t="shared" si="630"/>
        <v>133.75</v>
      </c>
      <c r="M70">
        <v>87.858087719929728</v>
      </c>
      <c r="N70">
        <v>0.70276051114349525</v>
      </c>
      <c r="O70" s="59">
        <f t="shared" ref="O70:O71" si="679">(ABS(($B$16*$B$8)-(M70*N70)))/($B$16-M70)</f>
        <v>0.69887378185951909</v>
      </c>
      <c r="P70" s="59">
        <f t="shared" ref="P70:P71" si="680">677+(15*O70)-(37.5*O70^2)</f>
        <v>669.16718561649418</v>
      </c>
      <c r="Q70" s="59">
        <f t="shared" ref="Q70:Q71" si="681">168+(325*O70)-(12.5*O70^2)</f>
        <v>389.02867206721083</v>
      </c>
      <c r="R70" s="59">
        <f t="shared" ref="R70:R71" ca="1" si="682">I70/P70</f>
        <v>0.9865580331504894</v>
      </c>
      <c r="S70" s="59">
        <f t="shared" ref="S70:S71" si="683">(L70+460)/Q70</f>
        <v>1.5262371198630325</v>
      </c>
      <c r="T70" s="59">
        <f t="shared" ref="T70:T71" ca="1" si="684">1-((3.25*R70)/(10^(0.9813*S70)))+((0.274*R70^2)/(10^(0.8157*S70)))</f>
        <v>0.91324029084012492</v>
      </c>
      <c r="U70" s="59">
        <f t="shared" ref="U70:U71" ca="1" si="685">(T70*(L70+460)/I70)*($B$17/(520))</f>
        <v>2.3219101188182371E-2</v>
      </c>
      <c r="V70" s="59">
        <f t="shared" ref="V70:V71" ca="1" si="686">(O70*$B$18)/U70</f>
        <v>2.2995703624067381</v>
      </c>
      <c r="W70" s="59">
        <f t="shared" ref="W70:W71" si="687">3.5+(986/(L70+460))+(0.2896*O70)</f>
        <v>5.363025426173885</v>
      </c>
      <c r="X70" s="59">
        <f t="shared" ref="X70:X71" si="688">2.4-(0.2*W70)</f>
        <v>1.3273949147652229</v>
      </c>
      <c r="Y70" s="59">
        <f t="shared" ref="Y70:Y71" si="689">((9.4+(0.5792*O70))*(L70+460)^1.5)/((209+(550.24*O70)+(L70+460)))</f>
        <v>119.47685404451245</v>
      </c>
      <c r="Z70" s="60">
        <f t="shared" ref="Z70:Z71" si="690">Y70*((10^(-4))*EXP(W70*(O70/62.928)^X70))</f>
        <v>1.2111872936578588E-2</v>
      </c>
      <c r="AA70" s="59">
        <f t="shared" ref="AA70:AA71" si="691">0.9759+0.00012*(BT69*((BT70/$B$19)^0.5)+(1.25*L70))^1.2</f>
        <v>1.0317503386080205</v>
      </c>
      <c r="AB70" s="42">
        <v>34</v>
      </c>
      <c r="AC70" s="61">
        <f t="shared" ref="AC70:AC71" si="692">(($B$19*$B$22)+(N70*$B$18*M70))/AA70</f>
        <v>59.962853723530401</v>
      </c>
      <c r="AD70" s="59">
        <f t="shared" si="677"/>
        <v>0.16498815587413193</v>
      </c>
      <c r="AE70" s="59">
        <f t="shared" ref="AE70:AE71" si="693">$B$21*AA70*(5.615/1)*(1/86400)</f>
        <v>0.33525915227338166</v>
      </c>
      <c r="AF70" s="59">
        <f t="shared" ref="AF70:AF71" ca="1" si="694">$B$21*($B$16-M70)*U70*(1/86400)</f>
        <v>0.28936793068862998</v>
      </c>
      <c r="AG70" s="59">
        <f t="shared" ref="AG70:AG71" si="695">AE70/AD70</f>
        <v>2.032019513747084</v>
      </c>
      <c r="AH70" s="59">
        <f t="shared" ref="AH70:AH71" ca="1" si="696">AF70/AD70</f>
        <v>1.7538709318588077</v>
      </c>
      <c r="AI70" s="59">
        <f t="shared" ref="AI70:AI71" ca="1" si="697">AG70+AH70</f>
        <v>3.7858904456058919</v>
      </c>
      <c r="AJ70" s="59">
        <f t="shared" ref="AJ70:AJ71" ca="1" si="698">AE70/(AE70+AF70)</f>
        <v>0.53673489577743994</v>
      </c>
      <c r="AK70" s="59"/>
      <c r="AL70" s="59">
        <f t="shared" ref="AL70:AL71" ca="1" si="699">1.071-((0.2218*((AG70+AH70)^2))/($B$5*0.0833333))</f>
        <v>-5.8651161464921966</v>
      </c>
      <c r="AM70" s="59">
        <f t="shared" ref="AM70:AM71" ca="1" si="700">AH70/(AG70+AH70)</f>
        <v>0.46326510422256001</v>
      </c>
      <c r="AN70" s="59">
        <f t="shared" ref="AN70:AN71" ca="1" si="701">AM70-AL70</f>
        <v>6.3283812507147568</v>
      </c>
      <c r="AO70" s="59">
        <f t="shared" ref="AO70:AO71" ca="1" si="702">(42.4-(0.047*J70)-(0.267*$B$2))*EXP(-0.0007*I70)</f>
        <v>18.918234532880664</v>
      </c>
      <c r="AP70" s="59">
        <f t="shared" ref="AP70:AP71" ca="1" si="703">1.938*AG70*(AC70/AO70)^0.25</f>
        <v>5.2545081378925715</v>
      </c>
      <c r="AQ70" s="59">
        <f t="shared" ref="AQ70:AQ71" ca="1" si="704">1.938*AH70*(AC70/AO70)^0.25</f>
        <v>4.5352561931215645</v>
      </c>
      <c r="AR70" s="59">
        <f t="shared" ref="AR70:AR71" ca="1" si="705">((120.872*$B$5)/12)*((AC70/AO70)^0.25)</f>
        <v>73.919253726920545</v>
      </c>
      <c r="AS70" s="59">
        <f t="shared" ref="AS70:AS71" ca="1" si="706">0.15726*AB70*(1/(AC70*AO70^3)^0.25)</f>
        <v>0.21181960855717913</v>
      </c>
      <c r="AT70" s="59">
        <f t="shared" ref="AT70:AT71" ca="1" si="707">0.0104*(1.163-EXP(-6.407*AS70))</f>
        <v>9.4182513722526721E-3</v>
      </c>
      <c r="AU70" s="59">
        <f t="shared" ref="AU70:AU71" ca="1" si="708">(AP70*AT70*I70^0.1)/((AQ70^0.575)*AR70*$B$17^0.1)</f>
        <v>4.1061302106136255E-4</v>
      </c>
      <c r="AV70" s="59">
        <f t="shared" ref="AV70:AV71" ca="1" si="709">(0.0745*0.000841+1.0728*(AU70^0.884))/(0.000841+AU70^0.884)</f>
        <v>0.62033621712373432</v>
      </c>
      <c r="AW70" s="59">
        <f t="shared" ref="AW70:AW71" ca="1" si="710">(AQ70*AS70^0.1)/(AR70^2.14)</f>
        <v>3.8909641865862851E-4</v>
      </c>
      <c r="AX70" s="59">
        <f t="shared" ref="AX70:AX71" ca="1" si="711">(0.97471888*0.0102865321+1.7467011*(AW70^3.8462632))/(0.0102865321+AW70^3.8462632)</f>
        <v>0.97471888000575158</v>
      </c>
      <c r="AY70" s="59">
        <f t="shared" ref="AY70:AY71" ca="1" si="712">AV70*AX70</f>
        <v>0.60465342278185108</v>
      </c>
      <c r="AZ70" s="59">
        <f t="shared" ref="AZ70:AZ71" ca="1" si="713">(V70*(1-AY70))+(AC70*AY70)</f>
        <v>37.165872015549922</v>
      </c>
      <c r="BA70" s="59">
        <f t="shared" ref="BA70:BA71" ca="1" si="714">(Z70*(1-AJ70))+(AB70*AJ70)</f>
        <v>18.254597464511253</v>
      </c>
      <c r="BB70" s="59">
        <f t="shared" ref="BB70:BB71" ca="1" si="715">(1488*AZ70*AI70*($B$5/12))/BA70</f>
        <v>5256.8366663336592</v>
      </c>
      <c r="BC70">
        <f t="shared" ca="1" si="625"/>
        <v>3.7000547764014596E-2</v>
      </c>
      <c r="BD70" s="59">
        <f t="shared" ref="BD70:BD71" ca="1" si="716">(-2*LOG(($B$7/(3.71*$B$5))+(2.514/(BB70*SQRT(BC70)))))^(-2)</f>
        <v>3.7000547764014596E-2</v>
      </c>
      <c r="BE70" s="59">
        <f t="shared" ref="BE70:BE71" ca="1" si="717">((BD70*AZ70*(AI70^2))/(144*2*32.2*($B$5/12)))+((AZ70*SIN(90))/144)</f>
        <v>0.2353744923250887</v>
      </c>
      <c r="BF70" s="59">
        <f t="shared" ref="BF70:BF71" ca="1" si="718">BE70*100</f>
        <v>23.53744923250887</v>
      </c>
      <c r="BG70" s="59">
        <f t="shared" ref="BG70:BG71" ca="1" si="719">G70+BF70</f>
        <v>671.99822587235371</v>
      </c>
      <c r="BH70" s="59">
        <f t="shared" ref="BH70:BH71" ca="1" si="720">ABS(H70-BG70)/H70</f>
        <v>1.7038294372683868E-4</v>
      </c>
      <c r="BI70" t="str">
        <f t="shared" ca="1" si="678"/>
        <v>Listo</v>
      </c>
    </row>
    <row r="71" spans="4:61" x14ac:dyDescent="0.25">
      <c r="D71">
        <v>30</v>
      </c>
      <c r="E71">
        <v>3100</v>
      </c>
      <c r="G71">
        <f t="shared" ca="1" si="626"/>
        <v>671.99822587235371</v>
      </c>
      <c r="H71">
        <f ca="1">G71+$B$61</f>
        <v>691.22406788997796</v>
      </c>
      <c r="I71" s="59">
        <f t="shared" ca="1" si="628"/>
        <v>681.61114688116584</v>
      </c>
      <c r="J71">
        <f t="shared" si="629"/>
        <v>135</v>
      </c>
      <c r="K71">
        <f t="shared" si="634"/>
        <v>137.5</v>
      </c>
      <c r="L71" s="59">
        <f t="shared" si="630"/>
        <v>136.25</v>
      </c>
      <c r="M71">
        <v>90.907485666966608</v>
      </c>
      <c r="N71">
        <v>0.70250924136253901</v>
      </c>
      <c r="O71" s="59">
        <f t="shared" si="679"/>
        <v>0.69892554817866093</v>
      </c>
      <c r="P71" s="59">
        <f t="shared" si="680"/>
        <v>669.16524865154827</v>
      </c>
      <c r="Q71" s="59">
        <f t="shared" si="681"/>
        <v>389.04459163435433</v>
      </c>
      <c r="R71" s="59">
        <f t="shared" ca="1" si="682"/>
        <v>1.0185991401297327</v>
      </c>
      <c r="S71" s="59">
        <f t="shared" si="683"/>
        <v>1.5326006653766537</v>
      </c>
      <c r="T71" s="59">
        <f t="shared" ca="1" si="684"/>
        <v>0.91224154539474223</v>
      </c>
      <c r="U71" s="59">
        <f t="shared" ca="1" si="685"/>
        <v>2.2558776735706457E-2</v>
      </c>
      <c r="V71" s="59">
        <f t="shared" ca="1" si="686"/>
        <v>2.3670570663670105</v>
      </c>
      <c r="W71" s="59">
        <f t="shared" si="687"/>
        <v>5.356077601855266</v>
      </c>
      <c r="X71" s="59">
        <f t="shared" si="688"/>
        <v>1.3287844796289467</v>
      </c>
      <c r="Y71" s="59">
        <f t="shared" si="689"/>
        <v>119.97710152996524</v>
      </c>
      <c r="Z71" s="60">
        <f t="shared" si="690"/>
        <v>1.2161352850729926E-2</v>
      </c>
      <c r="AA71" s="59">
        <f t="shared" si="691"/>
        <v>1.0330053864380613</v>
      </c>
      <c r="AB71" s="42">
        <v>35</v>
      </c>
      <c r="AC71" s="61">
        <f t="shared" si="692"/>
        <v>60.046806362309191</v>
      </c>
      <c r="AD71" s="59">
        <f t="shared" si="677"/>
        <v>0.16498815587413193</v>
      </c>
      <c r="AE71" s="59">
        <f t="shared" si="693"/>
        <v>0.33566697018806213</v>
      </c>
      <c r="AF71" s="59">
        <f t="shared" ca="1" si="694"/>
        <v>0.27715769799004752</v>
      </c>
      <c r="AG71" s="59">
        <f t="shared" si="695"/>
        <v>2.0344913149046868</v>
      </c>
      <c r="AH71" s="59">
        <f t="shared" ca="1" si="696"/>
        <v>1.6798642091708014</v>
      </c>
      <c r="AI71" s="59">
        <f t="shared" ca="1" si="697"/>
        <v>3.7143555240754882</v>
      </c>
      <c r="AJ71" s="59">
        <f t="shared" ca="1" si="698"/>
        <v>0.54773736701229658</v>
      </c>
      <c r="AK71" s="59"/>
      <c r="AL71" s="59">
        <f t="shared" ca="1" si="699"/>
        <v>-5.6054747816238804</v>
      </c>
      <c r="AM71" s="59">
        <f t="shared" ca="1" si="700"/>
        <v>0.45226263298770342</v>
      </c>
      <c r="AN71" s="59">
        <f t="shared" ca="1" si="701"/>
        <v>6.0577374146115837</v>
      </c>
      <c r="AO71" s="59">
        <f t="shared" ca="1" si="702"/>
        <v>18.563527998504924</v>
      </c>
      <c r="AP71" s="59">
        <f t="shared" ca="1" si="703"/>
        <v>5.2877018849219422</v>
      </c>
      <c r="AQ71" s="59">
        <f t="shared" ca="1" si="704"/>
        <v>4.3660157603875014</v>
      </c>
      <c r="AR71" s="59">
        <f t="shared" ca="1" si="705"/>
        <v>74.295840605026228</v>
      </c>
      <c r="AS71" s="59">
        <f t="shared" ca="1" si="706"/>
        <v>0.22108966881105604</v>
      </c>
      <c r="AT71" s="59">
        <f t="shared" ca="1" si="707"/>
        <v>9.5726146754251448E-3</v>
      </c>
      <c r="AU71" s="59">
        <f t="shared" ca="1" si="708"/>
        <v>4.2845570204949412E-4</v>
      </c>
      <c r="AV71" s="59">
        <f t="shared" ca="1" si="709"/>
        <v>0.6296212042844086</v>
      </c>
      <c r="AW71" s="59">
        <f t="shared" ca="1" si="710"/>
        <v>3.7211580151626629E-4</v>
      </c>
      <c r="AX71" s="59">
        <f t="shared" ca="1" si="711"/>
        <v>0.97471888000484452</v>
      </c>
      <c r="AY71" s="59">
        <f t="shared" ca="1" si="712"/>
        <v>0.6137036750674002</v>
      </c>
      <c r="AZ71" s="59">
        <f t="shared" ca="1" si="713"/>
        <v>37.765331186253015</v>
      </c>
      <c r="BA71" s="59">
        <f t="shared" ca="1" si="714"/>
        <v>19.176307970891344</v>
      </c>
      <c r="BB71" s="59">
        <f t="shared" ca="1" si="715"/>
        <v>4988.8006129841642</v>
      </c>
      <c r="BC71">
        <f t="shared" ca="1" si="625"/>
        <v>3.7553681237687091E-2</v>
      </c>
      <c r="BD71" s="59">
        <f t="shared" ca="1" si="716"/>
        <v>3.7555689188276002E-2</v>
      </c>
      <c r="BE71" s="59">
        <f t="shared" ca="1" si="717"/>
        <v>0.23906258050656043</v>
      </c>
      <c r="BF71" s="59">
        <f t="shared" ca="1" si="718"/>
        <v>23.906258050656042</v>
      </c>
      <c r="BG71" s="59">
        <f t="shared" ca="1" si="719"/>
        <v>695.90448392300971</v>
      </c>
      <c r="BH71" s="59">
        <f t="shared" ca="1" si="720"/>
        <v>6.7711994568116348E-3</v>
      </c>
      <c r="BI71" t="str">
        <f t="shared" ca="1" si="678"/>
        <v>Repetir</v>
      </c>
    </row>
    <row r="92" spans="1:3" x14ac:dyDescent="0.25">
      <c r="A92" s="1"/>
    </row>
    <row r="93" spans="1:3" x14ac:dyDescent="0.25">
      <c r="A93" s="1"/>
      <c r="B93" s="1"/>
      <c r="C93" s="1"/>
    </row>
    <row r="102" spans="1:3" x14ac:dyDescent="0.25">
      <c r="A102" s="1"/>
    </row>
    <row r="103" spans="1:3" x14ac:dyDescent="0.25">
      <c r="B103" s="1"/>
      <c r="C103" s="1"/>
    </row>
    <row r="113" spans="2:6" x14ac:dyDescent="0.25">
      <c r="B113" s="1"/>
      <c r="C113" s="1"/>
    </row>
    <row r="114" spans="2:6" x14ac:dyDescent="0.25">
      <c r="B114" s="1"/>
      <c r="C114" s="1"/>
    </row>
    <row r="125" spans="2:6" x14ac:dyDescent="0.25">
      <c r="B125" s="1"/>
      <c r="C125" s="1"/>
      <c r="D125" s="1"/>
      <c r="F125" s="1"/>
    </row>
  </sheetData>
  <hyperlinks>
    <hyperlink ref="AE1" r:id="rId1"/>
    <hyperlink ref="A21" r:id="rId2"/>
    <hyperlink ref="AF1" r:id="rId3"/>
    <hyperlink ref="AC1" r:id="rId4"/>
  </hyperlinks>
  <pageMargins left="0.7" right="0.7" top="0.75" bottom="0.75" header="0.3" footer="0.3"/>
  <pageSetup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Hoja1</vt:lpstr>
      <vt:lpstr>Gráfico1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</dc:creator>
  <cp:lastModifiedBy>Luis Navarro</cp:lastModifiedBy>
  <dcterms:created xsi:type="dcterms:W3CDTF">2018-10-25T04:00:48Z</dcterms:created>
  <dcterms:modified xsi:type="dcterms:W3CDTF">2018-10-31T06:01:35Z</dcterms:modified>
</cp:coreProperties>
</file>